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deat\Downloads\practiceflow-phase3-backend-checkpoint_1\outputs\business_model_5m\"/>
    </mc:Choice>
  </mc:AlternateContent>
  <xr:revisionPtr revIDLastSave="0" documentId="13_ncr:1_{7AD6BC5B-BA38-4A1B-B2C4-6A0030F7AF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Резюме" sheetId="1" r:id="rId1"/>
    <sheet name="02_BMC" sheetId="2" r:id="rId2"/>
    <sheet name="03_Допущения" sheetId="3" r:id="rId3"/>
    <sheet name="04_Инвестиции_5м" sheetId="4" r:id="rId4"/>
    <sheet name="05_Прогноз_3г" sheetId="5" r:id="rId5"/>
    <sheet name="06_Сценарии" sheetId="6" r:id="rId6"/>
    <sheet name="07_Проверки" sheetId="7" r:id="rId7"/>
    <sheet name="08_Источники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7" l="1"/>
  <c r="C9" i="7"/>
  <c r="B9" i="7"/>
  <c r="D9" i="7" s="1"/>
  <c r="C8" i="7"/>
  <c r="L8" i="6"/>
  <c r="J8" i="6"/>
  <c r="K8" i="6" s="1"/>
  <c r="L7" i="6"/>
  <c r="J7" i="6"/>
  <c r="K7" i="6" s="1"/>
  <c r="C11" i="7" s="1"/>
  <c r="L6" i="6"/>
  <c r="J6" i="6"/>
  <c r="K6" i="6" s="1"/>
  <c r="D19" i="5"/>
  <c r="C19" i="5"/>
  <c r="C23" i="5" s="1"/>
  <c r="C24" i="5" s="1"/>
  <c r="G6" i="1" s="1"/>
  <c r="B19" i="5"/>
  <c r="B23" i="5" s="1"/>
  <c r="B24" i="5" s="1"/>
  <c r="D16" i="5"/>
  <c r="D23" i="5" s="1"/>
  <c r="D24" i="5" s="1"/>
  <c r="C16" i="5"/>
  <c r="B16" i="5"/>
  <c r="B14" i="5"/>
  <c r="D13" i="5"/>
  <c r="C13" i="5"/>
  <c r="D11" i="5"/>
  <c r="C11" i="5"/>
  <c r="B11" i="5"/>
  <c r="D10" i="5"/>
  <c r="C10" i="5"/>
  <c r="B10" i="5"/>
  <c r="D9" i="5"/>
  <c r="C9" i="5"/>
  <c r="C12" i="5" s="1"/>
  <c r="B9" i="5"/>
  <c r="D8" i="5"/>
  <c r="C8" i="5"/>
  <c r="B8" i="5"/>
  <c r="B13" i="5" s="1"/>
  <c r="D7" i="5"/>
  <c r="D14" i="5" s="1"/>
  <c r="C7" i="5"/>
  <c r="C14" i="5" s="1"/>
  <c r="B7" i="5"/>
  <c r="D6" i="5"/>
  <c r="D12" i="5" s="1"/>
  <c r="D15" i="5" s="1"/>
  <c r="C6" i="5"/>
  <c r="B6" i="5"/>
  <c r="B12" i="5" s="1"/>
  <c r="B15" i="5" s="1"/>
  <c r="C12" i="4"/>
  <c r="C11" i="4"/>
  <c r="C10" i="4"/>
  <c r="C9" i="4"/>
  <c r="C8" i="4"/>
  <c r="C7" i="4"/>
  <c r="G6" i="4"/>
  <c r="C6" i="4"/>
  <c r="B36" i="3"/>
  <c r="C35" i="3"/>
  <c r="C34" i="3"/>
  <c r="C33" i="3"/>
  <c r="C32" i="3"/>
  <c r="C31" i="3"/>
  <c r="C30" i="3"/>
  <c r="C29" i="3"/>
  <c r="C36" i="3" s="1"/>
  <c r="J6" i="1"/>
  <c r="C6" i="1"/>
  <c r="A6" i="1"/>
  <c r="J5" i="1"/>
  <c r="J4" i="1"/>
  <c r="K4" i="1" l="1"/>
  <c r="B17" i="5"/>
  <c r="B18" i="5"/>
  <c r="B20" i="5" s="1"/>
  <c r="B21" i="5"/>
  <c r="A10" i="1"/>
  <c r="B10" i="7"/>
  <c r="D10" i="7" s="1"/>
  <c r="E10" i="7" s="1"/>
  <c r="K6" i="1"/>
  <c r="D17" i="5"/>
  <c r="D18" i="5" s="1"/>
  <c r="D20" i="5" s="1"/>
  <c r="C15" i="5"/>
  <c r="G7" i="4"/>
  <c r="G8" i="4" s="1"/>
  <c r="E9" i="7"/>
  <c r="C13" i="4"/>
  <c r="D10" i="4" s="1"/>
  <c r="C10" i="7"/>
  <c r="E10" i="1" l="1"/>
  <c r="B11" i="7"/>
  <c r="D11" i="7" s="1"/>
  <c r="E11" i="7" s="1"/>
  <c r="L6" i="1"/>
  <c r="D21" i="5"/>
  <c r="D7" i="4"/>
  <c r="B22" i="5"/>
  <c r="L4" i="1"/>
  <c r="D11" i="4"/>
  <c r="G10" i="4"/>
  <c r="B8" i="7"/>
  <c r="D8" i="7" s="1"/>
  <c r="E8" i="7" s="1"/>
  <c r="D9" i="4"/>
  <c r="E6" i="1"/>
  <c r="G9" i="4"/>
  <c r="D8" i="4"/>
  <c r="D6" i="4"/>
  <c r="C17" i="5"/>
  <c r="C18" i="5"/>
  <c r="C20" i="5" s="1"/>
  <c r="K5" i="1"/>
  <c r="D12" i="4"/>
  <c r="B12" i="7" l="1"/>
  <c r="L5" i="1"/>
  <c r="C10" i="1"/>
  <c r="C21" i="5"/>
  <c r="D13" i="4"/>
  <c r="C22" i="5"/>
  <c r="B25" i="5"/>
  <c r="D22" i="5" l="1"/>
  <c r="D25" i="5" s="1"/>
  <c r="G10" i="1" s="1"/>
  <c r="C25" i="5"/>
  <c r="E12" i="7"/>
  <c r="B5" i="7" s="1"/>
  <c r="D1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tc={7055BC82-173C-DB08-DB33-CC79C0DEEB77}</author>
    <author>tc={BF993418-ED00-B778-9BAD-25A9C62558AD}</author>
    <author>tc={E0C8AF9B-2395-8452-34EF-F2C79E67AA3B}</author>
  </authors>
  <commentList>
    <comment ref="B6" authorId="0" shapeId="0" xr:uid="{00000000-0006-0000-02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Assumption: 5 000 000 KZT was requested by the user; currency is assumed to be KZT.</t>
      </text>
    </comment>
    <comment ref="B10" authorId="1" shapeId="0" xr:uid="{00000000-0006-0000-02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Assumption: preliminary annual institution price. Validate with pilots and procurement interviews.</t>
      </text>
    </comment>
    <comment ref="B12" authorId="2" shapeId="0" xr:uid="{00000000-0006-0000-0200-00000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Assumption: COGS covers infrastructure and customer support; validate after the first pilots.</t>
      </text>
    </comment>
  </commentList>
</comments>
</file>

<file path=xl/sharedStrings.xml><?xml version="1.0" encoding="utf-8"?>
<sst xmlns="http://schemas.openxmlformats.org/spreadsheetml/2006/main" count="337" uniqueCount="297">
  <si>
    <t>PracticeFlow — инвестиционная бизнес‑модель</t>
  </si>
  <si>
    <t>Lean‑план на 5 000 000 ₸ для закрытия MVP‑гепов, запуска 2 пилотов и выхода на первые годовые лицензии. Базовый сценарий; не является инвестиционной рекомендацией.</t>
  </si>
  <si>
    <t>Период</t>
  </si>
  <si>
    <t>Выручка, ₸</t>
  </si>
  <si>
    <t>Опер. поток, ₸</t>
  </si>
  <si>
    <t>Ключевые показатели</t>
  </si>
  <si>
    <t>Инвестиции</t>
  </si>
  <si>
    <t>MVP‑программа</t>
  </si>
  <si>
    <t>Core burn / мес.</t>
  </si>
  <si>
    <t>Лицензий для BE</t>
  </si>
  <si>
    <t>Выручка — Год 3</t>
  </si>
  <si>
    <t>Опер. поток — Год 2</t>
  </si>
  <si>
    <t>Опер. поток — Год 3</t>
  </si>
  <si>
    <t>Поток после 5 млн — Год 3</t>
  </si>
  <si>
    <t>Инвестиционная логика</t>
  </si>
  <si>
    <t>1</t>
  </si>
  <si>
    <t>Закрыть критичные пользовательские гепы</t>
  </si>
  <si>
    <t>Publish, review/comments/history, export UI; стабилизировать Docker/PDF.</t>
  </si>
  <si>
    <t>2</t>
  </si>
  <si>
    <t>Проверить спрос платным пилотом</t>
  </si>
  <si>
    <t>2 кафедры/факультета; замерить время проверки, активацию и конверсию в годовой договор.</t>
  </si>
  <si>
    <t>3</t>
  </si>
  <si>
    <t>Продать годовую лицензию</t>
  </si>
  <si>
    <t>Тариф + онбординг; контрактное доказательство повторяемой ценности.</t>
  </si>
  <si>
    <t>4</t>
  </si>
  <si>
    <t>Масштабировать только после кейсов</t>
  </si>
  <si>
    <t>Базовый план: 7 активных лицензий во 2‑й год и 15 — в 3‑й.</t>
  </si>
  <si>
    <t>PracticeFlow — бизнес‑модель (BMC)</t>
  </si>
  <si>
    <t>B2B SaaS для управления студенческой практикой. Первичный фокус — платный пилот на уровне кафедры/факультета, затем годовая лицензия для организации.</t>
  </si>
  <si>
    <t>Сегменты клиентов</t>
  </si>
  <si>
    <t>Ценность</t>
  </si>
  <si>
    <t>Каналы</t>
  </si>
  <si>
    <t>ЛПР: заведующий кафедрой, деканат, отдел практики.
Пользователи: преподаватель, студент, методист/директор.</t>
  </si>
  <si>
    <t>Единый путь: шаблон → отчёт → проверка → правки → итоговый документ.
Меньше версий файлов, прозрачные статусы и история.</t>
  </si>
  <si>
    <t>Прямой пилот с кафедрой.
Демонстрация на реальных экранах.
Партнёрство с вузом и рекомендация между подразделениями.</t>
  </si>
  <si>
    <t>Отношения с клиентом</t>
  </si>
  <si>
    <t>Потоки выручки</t>
  </si>
  <si>
    <t>Ключевые действия</t>
  </si>
  <si>
    <t>Онбординг шаблонов и групп.
Поддержка в период практики.
Ежемесячный созвон по обратной связи и метрикам.</t>
  </si>
  <si>
    <t>Платный пилот: 350 тыс. ₸.
Годовая лицензия: от 1,2 млн ₸.
Разовая настройка/онбординг: 250 тыс. ₸.</t>
  </si>
  <si>
    <t>Закрыть UI review/publish/export.
Стабилизировать Docker/PDF.
Запустить 2–3 пилота и конвертировать их в годовые лицензии.</t>
  </si>
  <si>
    <t>Ключевые ресурсы</t>
  </si>
  <si>
    <t>Ключевые партнёры</t>
  </si>
  <si>
    <t>Структура затрат</t>
  </si>
  <si>
    <t>MVP-код, документный движок, команда продукта, UX-исследование, шаблоны и экспертность преподавателей.</t>
  </si>
  <si>
    <t>Кафедры и отделы практики, пилотные вузы, методисты, облачная инфраструктура, юридическая/закупочная поддержка.</t>
  </si>
  <si>
    <t>Разработка и QA, UX, облако/DevOps, онбординг, продажи и договоры.
Подробное распределение — на листе 04.</t>
  </si>
  <si>
    <t>Допущения и драйверы</t>
  </si>
  <si>
    <t>Жёлтые/синие ячейки — редактируемые допущения. Все расчёты в остальных листах ссылаются на этот лист.</t>
  </si>
  <si>
    <t>Коммерческие и финансовые драйверы</t>
  </si>
  <si>
    <t>Легенда модели</t>
  </si>
  <si>
    <t>Показатель</t>
  </si>
  <si>
    <t>Значение</t>
  </si>
  <si>
    <t>Ед.</t>
  </si>
  <si>
    <t>Комментарий</t>
  </si>
  <si>
    <t>Синий текст</t>
  </si>
  <si>
    <t>Редактируемый ввод</t>
  </si>
  <si>
    <t>Поменяйте после интервью и котировок.</t>
  </si>
  <si>
    <t>₸</t>
  </si>
  <si>
    <t>Рабочее допущение пользователя: 5 млн ₸.</t>
  </si>
  <si>
    <t>Зелёный текст</t>
  </si>
  <si>
    <t>Ссылка на другой лист</t>
  </si>
  <si>
    <t>Формула‑связь между блоками.</t>
  </si>
  <si>
    <t>Срок MVP‑программы</t>
  </si>
  <si>
    <t>мес.</t>
  </si>
  <si>
    <t>Период для закрытия критичных UI-гепов и запуска первых пилотов.</t>
  </si>
  <si>
    <t>Чёрный текст</t>
  </si>
  <si>
    <t>Расчёт</t>
  </si>
  <si>
    <t>Формула внутри листа.</t>
  </si>
  <si>
    <t>Резерв</t>
  </si>
  <si>
    <t>Резерв на сдвиг сроков, интеграции и непредвиденные расходы.</t>
  </si>
  <si>
    <t>Сценарий</t>
  </si>
  <si>
    <t>Базовый</t>
  </si>
  <si>
    <t>Все суммы без налогов и без оценки доли инвестора.</t>
  </si>
  <si>
    <t>Цена платного пилота</t>
  </si>
  <si>
    <t>Один факультет/кафедра, один цикл практики.</t>
  </si>
  <si>
    <t>Годовая лицензия</t>
  </si>
  <si>
    <t>₸/год</t>
  </si>
  <si>
    <t>Стартовый тариф для организации до 500 активных участников.</t>
  </si>
  <si>
    <t>Онбординг и настройка</t>
  </si>
  <si>
    <t>Разовый платёж: шаблоны, группы, обучение координатора.</t>
  </si>
  <si>
    <t>COGS</t>
  </si>
  <si>
    <t>% выручки</t>
  </si>
  <si>
    <t>Облако, поддержка и сопровождение клиента; предположение.</t>
  </si>
  <si>
    <t>Активные лицензии — Год 1</t>
  </si>
  <si>
    <t>шт.</t>
  </si>
  <si>
    <t>Две первые организации после пилота.</t>
  </si>
  <si>
    <t>Активные лицензии — Год 2</t>
  </si>
  <si>
    <t>Пять новых + удержание первых двух.</t>
  </si>
  <si>
    <t>Активные лицензии — Год 3</t>
  </si>
  <si>
    <t>Восемь новых + удержание действующих клиентов.</t>
  </si>
  <si>
    <t>Новые лицензии — Год 1</t>
  </si>
  <si>
    <t>Конверсия первых пилотов в договор на год.</t>
  </si>
  <si>
    <t>Платные пилоты — Год 1</t>
  </si>
  <si>
    <t>Пилоты должны проходить в реальном учебном цикле.</t>
  </si>
  <si>
    <t>Новые лицензии — Год 2</t>
  </si>
  <si>
    <t>План продаж при наличии первых кейсов.</t>
  </si>
  <si>
    <t>Платные пилоты — Год 2</t>
  </si>
  <si>
    <t>Верх воронки на следующий год.</t>
  </si>
  <si>
    <t>Новые лицензии — Год 3</t>
  </si>
  <si>
    <t>Рост через рекомендации и прямые продажи.</t>
  </si>
  <si>
    <t>Платные пилоты — Год 3</t>
  </si>
  <si>
    <t>Воронка для последующих контрактов.</t>
  </si>
  <si>
    <t>Операционные расходы — Год 1</t>
  </si>
  <si>
    <t>Расходование основной части 5 млн ₸; резерв не включён.</t>
  </si>
  <si>
    <t>Операционные расходы — Год 2</t>
  </si>
  <si>
    <t>Расширение команды и клиентской поддержки.</t>
  </si>
  <si>
    <t>Операционные расходы — Год 3</t>
  </si>
  <si>
    <t>Масштабирование продаж, поддержки и инфраструктуры.</t>
  </si>
  <si>
    <t>НДС/налог на прибыль</t>
  </si>
  <si>
    <t>%</t>
  </si>
  <si>
    <t>Не моделируется: зависит от юридической формы и режима налогообложения.</t>
  </si>
  <si>
    <t>Распределение инвестиций — вводимые статьи</t>
  </si>
  <si>
    <t>Статья</t>
  </si>
  <si>
    <t>Бюджет, ₸</t>
  </si>
  <si>
    <t>Доля</t>
  </si>
  <si>
    <t>Привязка к MVP</t>
  </si>
  <si>
    <t>Продукт и frontend</t>
  </si>
  <si>
    <t>Publish/review/export UI и роли Director/Admin</t>
  </si>
  <si>
    <t>Backend, QA и качество документов</t>
  </si>
  <si>
    <t>E2E-тесты, workflow, DOCX/PDF</t>
  </si>
  <si>
    <t>UX, дизайн и тестирование</t>
  </si>
  <si>
    <t>Путь преподавателя и студента; usability</t>
  </si>
  <si>
    <t>DevOps, облако и безопасность</t>
  </si>
  <si>
    <t>Docker, PDF-зависимости, логи, бэкапы</t>
  </si>
  <si>
    <t>Пилот и customer success</t>
  </si>
  <si>
    <t>Онбординг кафедр, поддержка, обучение</t>
  </si>
  <si>
    <t>Продажи, договоры и юридическое</t>
  </si>
  <si>
    <t>Коммерческое предложение, договоры, закупка</t>
  </si>
  <si>
    <t>Непредвиденные работы и задержки</t>
  </si>
  <si>
    <t>Итого</t>
  </si>
  <si>
    <t>Должно совпадать с суммой инвестиций</t>
  </si>
  <si>
    <t>Распределение инвестиций — 5 млн ₸</t>
  </si>
  <si>
    <t>Бюджет закрывает критичные продуктовые гепы, запускает пилот и оставляет резерв. Это плановый бюджет, а не подтверждённая смета подрядчиков.</t>
  </si>
  <si>
    <t>Use of funds</t>
  </si>
  <si>
    <t>Runway и контроль исполнения</t>
  </si>
  <si>
    <t>Направление</t>
  </si>
  <si>
    <t>Что будет профинансировано</t>
  </si>
  <si>
    <t>Метрика</t>
  </si>
  <si>
    <t>Смысл</t>
  </si>
  <si>
    <t>UI публикации практики, review/comments/history, export/download, незакрытые роли</t>
  </si>
  <si>
    <t>Время на закрытие MVP и первый пилот</t>
  </si>
  <si>
    <t>Backend, QA и документы</t>
  </si>
  <si>
    <t>E2E‑проверки, стабилизация workflow и качество DOCX/PDF</t>
  </si>
  <si>
    <t>Основной бюджет без резерва</t>
  </si>
  <si>
    <t>Не включает резерв</t>
  </si>
  <si>
    <t>UX и тестирование</t>
  </si>
  <si>
    <t>Сценарии преподавателя/студента, прототипирование, usability‑сессии</t>
  </si>
  <si>
    <t>Средний core burn / мес.</t>
  </si>
  <si>
    <t>Ориентир для контроля затрат</t>
  </si>
  <si>
    <t>DevOps и облако</t>
  </si>
  <si>
    <t>Docker, PDF‑зависимости, мониторинг, бэкапы и безопасность</t>
  </si>
  <si>
    <t>Резерв в месяцах core burn</t>
  </si>
  <si>
    <t>Дополнительный запас при том же burn</t>
  </si>
  <si>
    <t>Пилот и сопровождение</t>
  </si>
  <si>
    <t>Онбординг кафедр, миграция шаблонов, обучение и первая линия поддержки</t>
  </si>
  <si>
    <t>Плановый cash runway</t>
  </si>
  <si>
    <t>Если резерв используется только при необходимости</t>
  </si>
  <si>
    <t>Продажи и договоры</t>
  </si>
  <si>
    <t>Пилотное коммерческое предложение, договоры, юр. и закупочная подготовка</t>
  </si>
  <si>
    <t>Изменение требований, интеграции, сдвиг сроков или дополнительный пилот</t>
  </si>
  <si>
    <t>Результат, который должен быть получен за инвестиции</t>
  </si>
  <si>
    <t>За 10 месяцев PracticeFlow должен превратить текущий API‑фундамент в замкнутый пользовательский маршрут: преподаватель публикует практику, студент сдаёт отчёт, преподаватель проверяет и выгружает результат. Коммерческая цель — 2 платных пилота и 2 годовые лицензии, которые формируют доказательство спроса для следующего раунда продаж.</t>
  </si>
  <si>
    <t>Прогноз выручки и операционного потока — 3 года</t>
  </si>
  <si>
    <t>Базовый сценарий, без налогов и без оценки доли инвестора. Все драйверы — с листа 03; суммы в ₸.</t>
  </si>
  <si>
    <t>Финансовая модель</t>
  </si>
  <si>
    <t>Как читать модель</t>
  </si>
  <si>
    <t>Год 1</t>
  </si>
  <si>
    <t>Год 2</t>
  </si>
  <si>
    <t>Год 3</t>
  </si>
  <si>
    <t>Выручка</t>
  </si>
  <si>
    <t>Лицензии + пилоты + онбординг</t>
  </si>
  <si>
    <t>Контрактная модель B2B SaaS</t>
  </si>
  <si>
    <t>Активные годовые лицензии, шт.</t>
  </si>
  <si>
    <t>Инфраструктура и сопровождение</t>
  </si>
  <si>
    <t>Не включает продуктовую команду</t>
  </si>
  <si>
    <t>Новые годовые лицензии, шт.</t>
  </si>
  <si>
    <t>Опер. поток</t>
  </si>
  <si>
    <t>Валовая прибыль − OpEx</t>
  </si>
  <si>
    <t>До налогообложения</t>
  </si>
  <si>
    <t>Платные пилоты, шт.</t>
  </si>
  <si>
    <t>Безубыточность</t>
  </si>
  <si>
    <t>Выручка, покрывающая OpEx</t>
  </si>
  <si>
    <t>Считается без разовых платежей</t>
  </si>
  <si>
    <t>Цена годовой лицензии, ₸</t>
  </si>
  <si>
    <t>Окупаемость 5 млн</t>
  </si>
  <si>
    <t>Год 3 в базовом сценарии</t>
  </si>
  <si>
    <t>По строке накопленного потока после инвестиций</t>
  </si>
  <si>
    <t>Цена пилота, ₸</t>
  </si>
  <si>
    <t>Риск</t>
  </si>
  <si>
    <t>Длинный цикл закупки</t>
  </si>
  <si>
    <t>Сначала продаём пилот, затем годовую лицензию</t>
  </si>
  <si>
    <t>Онбординг, ₸</t>
  </si>
  <si>
    <t>Выручка: годовые лицензии</t>
  </si>
  <si>
    <t>Выручка: пилоты</t>
  </si>
  <si>
    <t>Выручка: онбординг</t>
  </si>
  <si>
    <t>Итого выручка</t>
  </si>
  <si>
    <t>COGS, %</t>
  </si>
  <si>
    <t>COGS, ₸</t>
  </si>
  <si>
    <t>Валовая прибыль</t>
  </si>
  <si>
    <t>Операционные расходы</t>
  </si>
  <si>
    <t>Операционный денежный поток</t>
  </si>
  <si>
    <t>Операционная маржа</t>
  </si>
  <si>
    <t>Накопленный операционный поток</t>
  </si>
  <si>
    <t>Выручка для безубыточности</t>
  </si>
  <si>
    <t>Лицензий для безубыточности, шт.</t>
  </si>
  <si>
    <t>Накопленный поток после инвестиций</t>
  </si>
  <si>
    <t>Сценарии — чувствительность к цене и продажам</t>
  </si>
  <si>
    <t>Сценарии меняют ключевые драйверы Года 3. Базовая строка согласована с прогнозом на листе 05.</t>
  </si>
  <si>
    <t>Сценарная таблица — Год 3</t>
  </si>
  <si>
    <t>Лицензия, ₸</t>
  </si>
  <si>
    <t>Пилот, ₸</t>
  </si>
  <si>
    <t>Активные лицензии</t>
  </si>
  <si>
    <t>Новые лицензии</t>
  </si>
  <si>
    <t>Пилоты</t>
  </si>
  <si>
    <t>OpEx, ₸</t>
  </si>
  <si>
    <t>Консервативный</t>
  </si>
  <si>
    <t>Ускоренный</t>
  </si>
  <si>
    <t>Интерпретация</t>
  </si>
  <si>
    <t>9 лицензий к Году 3</t>
  </si>
  <si>
    <t>Выручки не хватает для роста команды</t>
  </si>
  <si>
    <t>Нужен грант/софинансирование или выше тариф</t>
  </si>
  <si>
    <t>15 лицензий к Году 3</t>
  </si>
  <si>
    <t>Окупаемость 5 млн в Году 3</t>
  </si>
  <si>
    <t>Цель первого коммерческого цикла</t>
  </si>
  <si>
    <t>22 лицензии к Году 3</t>
  </si>
  <si>
    <t>Можно расширять customer success и продажи</t>
  </si>
  <si>
    <t>Нужен сильный канал и кейсы</t>
  </si>
  <si>
    <t>Правило</t>
  </si>
  <si>
    <t>Не снижать цену без доказанной конверсии</t>
  </si>
  <si>
    <t>Пилот продаёт доверие; лицензия — повторяемую ценность</t>
  </si>
  <si>
    <t>Сначала измерить экономию времени преподавателя</t>
  </si>
  <si>
    <t>Ключевая метрика</t>
  </si>
  <si>
    <t>Конверсия пилот → годовой договор</t>
  </si>
  <si>
    <t>Владелец: product/sales</t>
  </si>
  <si>
    <t>Цель: ≥60% после первых пилотов</t>
  </si>
  <si>
    <t>Проверки модели</t>
  </si>
  <si>
    <t>Контроль связей между бюджетом, прогнозом и базовым сценарием. Статус должен быть PASS перед использованием расчёта.</t>
  </si>
  <si>
    <t>MODEL STATUS</t>
  </si>
  <si>
    <t>Итоговый статус</t>
  </si>
  <si>
    <t>Проверка</t>
  </si>
  <si>
    <t>Факт</t>
  </si>
  <si>
    <t>Ожидание</t>
  </si>
  <si>
    <t>Отклонение</t>
  </si>
  <si>
    <t>Статус</t>
  </si>
  <si>
    <t>Инвестиции распределены полностью</t>
  </si>
  <si>
    <t>Итого use of funds должен равняться 5 млн ₸.</t>
  </si>
  <si>
    <t>Резерв неотрицательный</t>
  </si>
  <si>
    <t>Резерв нужен для нестабильности раннего MVP.</t>
  </si>
  <si>
    <t>Базовая выручка Года 3 сходится</t>
  </si>
  <si>
    <t>Базовая строка сценариев должна совпасть с прогнозом.</t>
  </si>
  <si>
    <t>Базовый операционный поток Года 3 сходится</t>
  </si>
  <si>
    <t>Проверка модели доходов и затрат.</t>
  </si>
  <si>
    <t>Операционный поток Года 2 положительный</t>
  </si>
  <si>
    <t>Базовый план должен иметь положительный поток во втором году.</t>
  </si>
  <si>
    <t>Источники и ограничения</t>
  </si>
  <si>
    <t>В модели нет внешних рыночных цен: коммерческие параметры помечены как допущения и должны быть заменены результатами пилота.</t>
  </si>
  <si>
    <t>ID</t>
  </si>
  <si>
    <t>Материал</t>
  </si>
  <si>
    <t>Тип</t>
  </si>
  <si>
    <t>Дата</t>
  </si>
  <si>
    <t>Как использован</t>
  </si>
  <si>
    <t>Ограничение / заметка</t>
  </si>
  <si>
    <t>Расположение</t>
  </si>
  <si>
    <t>S1</t>
  </si>
  <si>
    <t>Аудит PracticeFlow</t>
  </si>
  <si>
    <t>Внутренний аудит кода</t>
  </si>
  <si>
    <t>2026-08-20</t>
  </si>
  <si>
    <t>Определение реализованного MVP и критичных гепов</t>
  </si>
  <si>
    <t>Не является коммерческой валидацией рынка.</t>
  </si>
  <si>
    <t>PracticeFlow_3rd_defense_audit_updated.pptx</t>
  </si>
  <si>
    <t>S2</t>
  </si>
  <si>
    <t>Опрос преподавателей</t>
  </si>
  <si>
    <t>Пользовательские скриншоты Google Forms</t>
  </si>
  <si>
    <t>Проблема трудоёмкости и готовность к пилоту</t>
  </si>
  <si>
    <t>6 ответов — качественный сигнал, не рыночная статистика.</t>
  </si>
  <si>
    <t>feedback/</t>
  </si>
  <si>
    <t>S3</t>
  </si>
  <si>
    <t>Экраны MVP</t>
  </si>
  <si>
    <t>Пользовательские UI‑скриншоты</t>
  </si>
  <si>
    <t>Подтверждение текущего продуктового фокуса</t>
  </si>
  <si>
    <t>Не подтверждает готовность end‑to‑end review/export UI.</t>
  </si>
  <si>
    <t>скриншоты реализованных тем/</t>
  </si>
  <si>
    <t>A1</t>
  </si>
  <si>
    <t>Цены, расходы, объёмы продаж</t>
  </si>
  <si>
    <t>Плановые допущения</t>
  </si>
  <si>
    <t>Финансовый прогноз и сценарии</t>
  </si>
  <si>
    <t>Не внешние котировки. Заменить после интервью и договорных предложений.</t>
  </si>
  <si>
    <t>Лист 03_Допущения</t>
  </si>
  <si>
    <t>A2</t>
  </si>
  <si>
    <t>Курс/оценка инвестора</t>
  </si>
  <si>
    <t>Не используется</t>
  </si>
  <si>
    <t>Не рассчитывается</t>
  </si>
  <si>
    <t>В этой версии нет valuation, доли инвестора, налоговой модели и debt schedule.</t>
  </si>
  <si>
    <t>—</t>
  </si>
  <si>
    <t>Как улучшить модель после первых интервью</t>
  </si>
  <si>
    <t>Замените тарифы и затраты на фактические коммерческие предложения; добавьте воронку продаж по каждому вузу; подтвердите срок закупки; разделите пилот и годовой договор по cash‑timing; добавьте налоги и инвесторскую долю только после выбора юридической структуры и условий раунда.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</si>
</sst>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\-"/>
    <numFmt numFmtId="165" formatCode="0.0%;[Red]\(0.0%\);\-"/>
    <numFmt numFmtId="166" formatCode="0.0"/>
  </numFmts>
  <fonts count="22">
    <font>
      <sz val="11"/>
      <name val="Carlito"/>
    </font>
    <font>
      <b/>
      <sz val="18"/>
      <color rgb="FFFFFFFF"/>
      <name val="Carlito"/>
    </font>
    <font>
      <i/>
      <sz val="10"/>
      <color rgb="FF60708D"/>
      <name val="Carlito"/>
    </font>
    <font>
      <b/>
      <sz val="11"/>
      <color rgb="FFFFFFFF"/>
      <name val="Carlito"/>
    </font>
    <font>
      <sz val="10"/>
      <color rgb="FF18233A"/>
      <name val="Carlito"/>
    </font>
    <font>
      <b/>
      <sz val="10"/>
      <color rgb="FF18233A"/>
      <name val="Carlito"/>
    </font>
    <font>
      <sz val="11"/>
      <color rgb="FF0000FF"/>
      <name val="Carlito"/>
    </font>
    <font>
      <sz val="11"/>
      <color rgb="FF18233A"/>
      <name val="Carlito"/>
    </font>
    <font>
      <sz val="11"/>
      <color rgb="FF60708D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18233A"/>
      <name val="Carlito"/>
    </font>
    <font>
      <b/>
      <sz val="11"/>
      <color rgb="FF0000FF"/>
      <name val="Carlito"/>
    </font>
    <font>
      <b/>
      <sz val="11"/>
      <color rgb="FF008000"/>
      <name val="Carlito"/>
    </font>
    <font>
      <sz val="11"/>
      <color rgb="FF008000"/>
      <name val="Carlito"/>
    </font>
    <font>
      <b/>
      <sz val="11"/>
      <name val="Carlito"/>
    </font>
    <font>
      <b/>
      <sz val="12"/>
      <color rgb="FF18233A"/>
      <name val="Carlito"/>
    </font>
    <font>
      <b/>
      <sz val="10"/>
      <color rgb="FFFFFFFF"/>
      <name val="Carlito"/>
    </font>
    <font>
      <b/>
      <sz val="15"/>
      <color rgb="FF18233A"/>
      <name val="Carlito"/>
    </font>
    <font>
      <b/>
      <sz val="15"/>
      <color rgb="FF008000"/>
      <name val="Carlito"/>
    </font>
    <font>
      <b/>
      <sz val="14"/>
      <color rgb="FF6D72FF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0182A"/>
      </patternFill>
    </fill>
    <fill>
      <patternFill patternType="solid">
        <fgColor rgb="FFF5F7FC"/>
      </patternFill>
    </fill>
    <fill>
      <patternFill patternType="solid">
        <fgColor rgb="FF117A8B"/>
      </patternFill>
    </fill>
    <fill>
      <patternFill patternType="solid">
        <fgColor rgb="FFE8ECF8"/>
      </patternFill>
    </fill>
    <fill>
      <patternFill patternType="solid">
        <fgColor rgb="FFFFF7CC"/>
      </patternFill>
    </fill>
    <fill>
      <patternFill patternType="solid">
        <fgColor rgb="FFEEF0FF"/>
      </patternFill>
    </fill>
    <fill>
      <patternFill patternType="solid">
        <fgColor rgb="FFDDF5EC"/>
      </patternFill>
    </fill>
  </fills>
  <borders count="11">
    <border>
      <left/>
      <right/>
      <top/>
      <bottom/>
      <diagonal/>
    </border>
    <border>
      <left style="thin">
        <color rgb="FFDCE3F0"/>
      </left>
      <right/>
      <top style="thin">
        <color rgb="FFDCE3F0"/>
      </top>
      <bottom/>
      <diagonal/>
    </border>
    <border>
      <left/>
      <right/>
      <top style="thin">
        <color rgb="FFDCE3F0"/>
      </top>
      <bottom/>
      <diagonal/>
    </border>
    <border>
      <left/>
      <right style="thin">
        <color rgb="FFDCE3F0"/>
      </right>
      <top style="thin">
        <color rgb="FFDCE3F0"/>
      </top>
      <bottom/>
      <diagonal/>
    </border>
    <border>
      <left style="thin">
        <color rgb="FFDCE3F0"/>
      </left>
      <right/>
      <top/>
      <bottom/>
      <diagonal/>
    </border>
    <border>
      <left/>
      <right style="thin">
        <color rgb="FFDCE3F0"/>
      </right>
      <top/>
      <bottom/>
      <diagonal/>
    </border>
    <border>
      <left style="thin">
        <color rgb="FFDCE3F0"/>
      </left>
      <right/>
      <top/>
      <bottom style="thin">
        <color rgb="FFDCE3F0"/>
      </bottom>
      <diagonal/>
    </border>
    <border>
      <left/>
      <right/>
      <top/>
      <bottom style="thin">
        <color rgb="FFDCE3F0"/>
      </bottom>
      <diagonal/>
    </border>
    <border>
      <left/>
      <right style="thin">
        <color rgb="FFDCE3F0"/>
      </right>
      <top/>
      <bottom style="thin">
        <color rgb="FFDCE3F0"/>
      </bottom>
      <diagonal/>
    </border>
    <border>
      <left/>
      <right/>
      <top/>
      <bottom style="double">
        <color rgb="FF117A8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1" fillId="0" borderId="0"/>
  </cellStyleXfs>
  <cellXfs count="85">
    <xf numFmtId="0" fontId="0" fillId="0" borderId="0" xfId="0"/>
    <xf numFmtId="0" fontId="5" fillId="5" borderId="0" xfId="1" applyFont="1" applyFill="1" applyAlignment="1">
      <alignment vertical="center" wrapText="1"/>
    </xf>
    <xf numFmtId="164" fontId="6" fillId="6" borderId="0" xfId="1" applyNumberFormat="1" applyFont="1" applyFill="1" applyAlignment="1">
      <alignment horizontal="right"/>
    </xf>
    <xf numFmtId="0" fontId="0" fillId="0" borderId="0" xfId="1" applyFont="1" applyAlignment="1">
      <alignment vertical="center" wrapText="1"/>
    </xf>
    <xf numFmtId="164" fontId="6" fillId="6" borderId="0" xfId="1" applyNumberFormat="1" applyFont="1" applyFill="1" applyAlignment="1">
      <alignment horizontal="right" vertical="center" wrapText="1"/>
    </xf>
    <xf numFmtId="165" fontId="6" fillId="6" borderId="0" xfId="1" applyNumberFormat="1" applyFont="1" applyFill="1" applyAlignment="1">
      <alignment horizontal="right" vertical="center" wrapText="1"/>
    </xf>
    <xf numFmtId="0" fontId="7" fillId="0" borderId="0" xfId="1" applyFont="1" applyAlignment="1">
      <alignment vertical="center" wrapText="1"/>
    </xf>
    <xf numFmtId="0" fontId="8" fillId="0" borderId="0" xfId="1" applyFont="1" applyAlignment="1">
      <alignment vertical="center" wrapText="1"/>
    </xf>
    <xf numFmtId="165" fontId="9" fillId="0" borderId="0" xfId="1" applyNumberFormat="1" applyFont="1" applyAlignment="1">
      <alignment horizontal="right"/>
    </xf>
    <xf numFmtId="0" fontId="11" fillId="5" borderId="9" xfId="1" applyFont="1" applyFill="1" applyBorder="1"/>
    <xf numFmtId="164" fontId="11" fillId="5" borderId="9" xfId="1" applyNumberFormat="1" applyFont="1" applyFill="1" applyBorder="1" applyAlignment="1">
      <alignment horizontal="right"/>
    </xf>
    <xf numFmtId="165" fontId="11" fillId="5" borderId="9" xfId="1" applyNumberFormat="1" applyFont="1" applyFill="1" applyBorder="1" applyAlignment="1">
      <alignment horizontal="right"/>
    </xf>
    <xf numFmtId="0" fontId="0" fillId="3" borderId="0" xfId="1" applyFont="1" applyFill="1" applyAlignment="1">
      <alignment vertical="center" wrapText="1"/>
    </xf>
    <xf numFmtId="0" fontId="12" fillId="3" borderId="0" xfId="1" applyFont="1" applyFill="1" applyAlignment="1">
      <alignment vertical="center" wrapText="1"/>
    </xf>
    <xf numFmtId="0" fontId="13" fillId="3" borderId="0" xfId="1" applyFont="1" applyFill="1" applyAlignment="1">
      <alignment vertical="center" wrapText="1"/>
    </xf>
    <xf numFmtId="0" fontId="10" fillId="3" borderId="0" xfId="1" applyFont="1" applyFill="1" applyAlignment="1">
      <alignment vertical="center" wrapText="1"/>
    </xf>
    <xf numFmtId="164" fontId="14" fillId="0" borderId="0" xfId="1" applyNumberFormat="1" applyFont="1" applyAlignment="1">
      <alignment horizontal="right"/>
    </xf>
    <xf numFmtId="164" fontId="14" fillId="0" borderId="0" xfId="1" applyNumberFormat="1" applyFont="1" applyAlignment="1">
      <alignment horizontal="right" vertical="center" wrapText="1"/>
    </xf>
    <xf numFmtId="165" fontId="9" fillId="0" borderId="0" xfId="1" applyNumberFormat="1" applyFont="1" applyAlignment="1">
      <alignment horizontal="right" vertical="center" wrapText="1"/>
    </xf>
    <xf numFmtId="0" fontId="15" fillId="5" borderId="9" xfId="1" applyFont="1" applyFill="1" applyBorder="1"/>
    <xf numFmtId="164" fontId="10" fillId="5" borderId="9" xfId="1" applyNumberFormat="1" applyFont="1" applyFill="1" applyBorder="1" applyAlignment="1">
      <alignment horizontal="right"/>
    </xf>
    <xf numFmtId="165" fontId="10" fillId="5" borderId="9" xfId="1" applyNumberFormat="1" applyFont="1" applyFill="1" applyBorder="1" applyAlignment="1">
      <alignment horizontal="right"/>
    </xf>
    <xf numFmtId="164" fontId="14" fillId="3" borderId="0" xfId="1" applyNumberFormat="1" applyFont="1" applyFill="1" applyAlignment="1">
      <alignment horizontal="right" vertical="center" wrapText="1"/>
    </xf>
    <xf numFmtId="164" fontId="9" fillId="3" borderId="0" xfId="1" applyNumberFormat="1" applyFont="1" applyFill="1" applyAlignment="1">
      <alignment horizontal="right" vertical="center" wrapText="1"/>
    </xf>
    <xf numFmtId="166" fontId="9" fillId="3" borderId="0" xfId="1" applyNumberFormat="1" applyFont="1" applyFill="1" applyAlignment="1">
      <alignment horizontal="right" vertical="center" wrapText="1"/>
    </xf>
    <xf numFmtId="0" fontId="0" fillId="0" borderId="0" xfId="1" applyFont="1" applyAlignment="1">
      <alignment vertical="center"/>
    </xf>
    <xf numFmtId="164" fontId="14" fillId="0" borderId="0" xfId="1" applyNumberFormat="1" applyFont="1" applyAlignment="1">
      <alignment horizontal="right" vertical="center"/>
    </xf>
    <xf numFmtId="164" fontId="9" fillId="0" borderId="0" xfId="1" applyNumberFormat="1" applyFont="1" applyAlignment="1">
      <alignment horizontal="right" vertical="center"/>
    </xf>
    <xf numFmtId="165" fontId="14" fillId="0" borderId="0" xfId="1" applyNumberFormat="1" applyFont="1" applyAlignment="1">
      <alignment horizontal="right" vertical="center"/>
    </xf>
    <xf numFmtId="165" fontId="9" fillId="0" borderId="0" xfId="1" applyNumberFormat="1" applyFont="1" applyAlignment="1">
      <alignment horizontal="right" vertical="center"/>
    </xf>
    <xf numFmtId="0" fontId="11" fillId="5" borderId="0" xfId="1" applyFont="1" applyFill="1" applyAlignment="1">
      <alignment vertical="center"/>
    </xf>
    <xf numFmtId="164" fontId="11" fillId="5" borderId="0" xfId="1" applyNumberFormat="1" applyFont="1" applyFill="1" applyAlignment="1">
      <alignment horizontal="right" vertical="center"/>
    </xf>
    <xf numFmtId="0" fontId="11" fillId="8" borderId="0" xfId="1" applyFont="1" applyFill="1" applyAlignment="1">
      <alignment vertical="center"/>
    </xf>
    <xf numFmtId="164" fontId="11" fillId="8" borderId="0" xfId="1" applyNumberFormat="1" applyFont="1" applyFill="1" applyAlignment="1">
      <alignment horizontal="right" vertical="center"/>
    </xf>
    <xf numFmtId="0" fontId="11" fillId="5" borderId="9" xfId="1" applyFont="1" applyFill="1" applyBorder="1" applyAlignment="1">
      <alignment vertical="center"/>
    </xf>
    <xf numFmtId="164" fontId="11" fillId="5" borderId="9" xfId="1" applyNumberFormat="1" applyFont="1" applyFill="1" applyBorder="1" applyAlignment="1">
      <alignment horizontal="right" vertical="center"/>
    </xf>
    <xf numFmtId="0" fontId="11" fillId="8" borderId="9" xfId="1" applyFont="1" applyFill="1" applyBorder="1" applyAlignment="1">
      <alignment vertical="center"/>
    </xf>
    <xf numFmtId="164" fontId="11" fillId="8" borderId="9" xfId="1" applyNumberFormat="1" applyFont="1" applyFill="1" applyBorder="1" applyAlignment="1">
      <alignment horizontal="right" vertical="center"/>
    </xf>
    <xf numFmtId="164" fontId="6" fillId="6" borderId="0" xfId="1" applyNumberFormat="1" applyFont="1" applyFill="1" applyAlignment="1">
      <alignment horizontal="right" vertical="center"/>
    </xf>
    <xf numFmtId="165" fontId="6" fillId="6" borderId="0" xfId="1" applyNumberFormat="1" applyFont="1" applyFill="1" applyAlignment="1">
      <alignment horizontal="right" vertical="center"/>
    </xf>
    <xf numFmtId="165" fontId="11" fillId="8" borderId="0" xfId="1" applyNumberFormat="1" applyFont="1" applyFill="1" applyAlignment="1">
      <alignment horizontal="right" vertical="center"/>
    </xf>
    <xf numFmtId="0" fontId="16" fillId="5" borderId="0" xfId="1" applyFont="1" applyFill="1" applyAlignment="1">
      <alignment vertical="center"/>
    </xf>
    <xf numFmtId="164" fontId="9" fillId="0" borderId="0" xfId="1" applyNumberFormat="1" applyFont="1" applyAlignment="1">
      <alignment horizontal="right" vertical="center" wrapText="1"/>
    </xf>
    <xf numFmtId="0" fontId="0" fillId="0" borderId="0" xfId="1" applyFont="1" applyAlignment="1">
      <alignment vertical="top" wrapText="1"/>
    </xf>
    <xf numFmtId="49" fontId="14" fillId="0" borderId="0" xfId="1" applyNumberFormat="1" applyFont="1" applyAlignment="1">
      <alignment horizontal="right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horizontal="left" vertical="center"/>
    </xf>
    <xf numFmtId="0" fontId="17" fillId="4" borderId="0" xfId="1" applyFont="1" applyFill="1" applyAlignment="1">
      <alignment horizontal="center" vertical="center"/>
    </xf>
    <xf numFmtId="164" fontId="19" fillId="3" borderId="1" xfId="1" applyNumberFormat="1" applyFont="1" applyFill="1" applyBorder="1" applyAlignment="1">
      <alignment horizontal="right" vertical="center"/>
    </xf>
    <xf numFmtId="0" fontId="18" fillId="3" borderId="3" xfId="1" applyFont="1" applyFill="1" applyBorder="1" applyAlignment="1">
      <alignment horizontal="center" vertical="center"/>
    </xf>
    <xf numFmtId="0" fontId="18" fillId="3" borderId="6" xfId="1" applyFont="1" applyFill="1" applyBorder="1" applyAlignment="1">
      <alignment horizontal="center" vertical="center"/>
    </xf>
    <xf numFmtId="0" fontId="18" fillId="3" borderId="8" xfId="1" applyFont="1" applyFill="1" applyBorder="1" applyAlignment="1">
      <alignment horizontal="center" vertical="center"/>
    </xf>
    <xf numFmtId="164" fontId="18" fillId="3" borderId="3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top" wrapText="1"/>
    </xf>
    <xf numFmtId="0" fontId="4" fillId="3" borderId="2" xfId="1" applyFont="1" applyFill="1" applyBorder="1" applyAlignment="1">
      <alignment vertical="top" wrapText="1"/>
    </xf>
    <xf numFmtId="0" fontId="4" fillId="3" borderId="3" xfId="1" applyFont="1" applyFill="1" applyBorder="1" applyAlignment="1">
      <alignment vertical="top" wrapText="1"/>
    </xf>
    <xf numFmtId="0" fontId="4" fillId="3" borderId="4" xfId="1" applyFont="1" applyFill="1" applyBorder="1" applyAlignment="1">
      <alignment vertical="top" wrapText="1"/>
    </xf>
    <xf numFmtId="0" fontId="4" fillId="3" borderId="0" xfId="1" applyFont="1" applyFill="1" applyAlignment="1">
      <alignment vertical="top" wrapText="1"/>
    </xf>
    <xf numFmtId="0" fontId="4" fillId="3" borderId="5" xfId="1" applyFont="1" applyFill="1" applyBorder="1" applyAlignment="1">
      <alignment vertical="top" wrapText="1"/>
    </xf>
    <xf numFmtId="0" fontId="4" fillId="3" borderId="6" xfId="1" applyFont="1" applyFill="1" applyBorder="1" applyAlignment="1">
      <alignment vertical="top" wrapText="1"/>
    </xf>
    <xf numFmtId="0" fontId="4" fillId="3" borderId="7" xfId="1" applyFont="1" applyFill="1" applyBorder="1" applyAlignment="1">
      <alignment vertical="top" wrapText="1"/>
    </xf>
    <xf numFmtId="0" fontId="4" fillId="3" borderId="8" xfId="1" applyFont="1" applyFill="1" applyBorder="1" applyAlignment="1">
      <alignment vertical="top" wrapText="1"/>
    </xf>
    <xf numFmtId="0" fontId="11" fillId="7" borderId="1" xfId="1" applyFont="1" applyFill="1" applyBorder="1" applyAlignment="1">
      <alignment vertical="center" wrapText="1"/>
    </xf>
    <xf numFmtId="0" fontId="11" fillId="7" borderId="2" xfId="1" applyFont="1" applyFill="1" applyBorder="1" applyAlignment="1">
      <alignment vertical="center" wrapText="1"/>
    </xf>
    <xf numFmtId="0" fontId="11" fillId="7" borderId="3" xfId="1" applyFont="1" applyFill="1" applyBorder="1" applyAlignment="1">
      <alignment vertical="center" wrapText="1"/>
    </xf>
    <xf numFmtId="0" fontId="11" fillId="7" borderId="4" xfId="1" applyFont="1" applyFill="1" applyBorder="1" applyAlignment="1">
      <alignment vertical="center" wrapText="1"/>
    </xf>
    <xf numFmtId="0" fontId="11" fillId="7" borderId="0" xfId="1" applyFont="1" applyFill="1" applyAlignment="1">
      <alignment vertical="center" wrapText="1"/>
    </xf>
    <xf numFmtId="0" fontId="11" fillId="7" borderId="5" xfId="1" applyFont="1" applyFill="1" applyBorder="1" applyAlignment="1">
      <alignment vertical="center" wrapText="1"/>
    </xf>
    <xf numFmtId="0" fontId="11" fillId="7" borderId="6" xfId="1" applyFont="1" applyFill="1" applyBorder="1" applyAlignment="1">
      <alignment vertical="center" wrapText="1"/>
    </xf>
    <xf numFmtId="0" fontId="11" fillId="7" borderId="7" xfId="1" applyFont="1" applyFill="1" applyBorder="1" applyAlignment="1">
      <alignment vertical="center" wrapText="1"/>
    </xf>
    <xf numFmtId="0" fontId="11" fillId="7" borderId="8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vertical="center" wrapText="1"/>
    </xf>
    <xf numFmtId="0" fontId="7" fillId="3" borderId="2" xfId="1" applyFont="1" applyFill="1" applyBorder="1" applyAlignment="1">
      <alignment vertical="center" wrapText="1"/>
    </xf>
    <xf numFmtId="0" fontId="7" fillId="3" borderId="3" xfId="1" applyFont="1" applyFill="1" applyBorder="1" applyAlignment="1">
      <alignment vertical="center" wrapText="1"/>
    </xf>
    <xf numFmtId="0" fontId="7" fillId="3" borderId="4" xfId="1" applyFont="1" applyFill="1" applyBorder="1" applyAlignment="1">
      <alignment vertical="center" wrapText="1"/>
    </xf>
    <xf numFmtId="0" fontId="7" fillId="3" borderId="0" xfId="1" applyFont="1" applyFill="1" applyAlignment="1">
      <alignment vertical="center" wrapText="1"/>
    </xf>
    <xf numFmtId="0" fontId="7" fillId="3" borderId="5" xfId="1" applyFont="1" applyFill="1" applyBorder="1" applyAlignment="1">
      <alignment vertical="center" wrapText="1"/>
    </xf>
    <xf numFmtId="0" fontId="7" fillId="3" borderId="6" xfId="1" applyFont="1" applyFill="1" applyBorder="1" applyAlignment="1">
      <alignment vertical="center" wrapText="1"/>
    </xf>
    <xf numFmtId="0" fontId="7" fillId="3" borderId="7" xfId="1" applyFont="1" applyFill="1" applyBorder="1" applyAlignment="1">
      <alignment vertical="center" wrapText="1"/>
    </xf>
    <xf numFmtId="0" fontId="7" fillId="3" borderId="8" xfId="1" applyFont="1" applyFill="1" applyBorder="1" applyAlignment="1">
      <alignment vertical="center" wrapText="1"/>
    </xf>
    <xf numFmtId="164" fontId="20" fillId="3" borderId="10" xfId="1" applyNumberFormat="1" applyFont="1" applyFill="1" applyBorder="1" applyAlignment="1">
      <alignment vertical="center" wrapText="1"/>
    </xf>
    <xf numFmtId="0" fontId="11" fillId="3" borderId="10" xfId="1" applyFont="1" applyFill="1" applyBorder="1" applyAlignment="1">
      <alignment vertical="center" wrapText="1"/>
    </xf>
    <xf numFmtId="0" fontId="0" fillId="3" borderId="10" xfId="1" applyFont="1" applyFill="1" applyBorder="1" applyAlignment="1">
      <alignment vertical="center" wrapText="1"/>
    </xf>
    <xf numFmtId="0" fontId="20" fillId="3" borderId="10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4">
    <dxf>
      <font>
        <b/>
        <color rgb="FFB05050"/>
      </font>
      <fill>
        <patternFill patternType="solid">
          <bgColor rgb="FFFCE3E3"/>
        </patternFill>
      </fill>
    </dxf>
    <dxf>
      <font>
        <b/>
        <color rgb="FF1D6B45"/>
      </font>
      <fill>
        <patternFill patternType="solid">
          <bgColor rgb="FFDDF5EC"/>
        </patternFill>
      </fill>
    </dxf>
    <dxf>
      <font>
        <b/>
        <color rgb="FFB05050"/>
      </font>
      <fill>
        <patternFill patternType="solid">
          <bgColor rgb="FFFCE3E3"/>
        </patternFill>
      </fill>
    </dxf>
    <dxf>
      <font>
        <b/>
        <color rgb="FF1D6B45"/>
      </font>
      <fill>
        <patternFill patternType="solid">
          <bgColor rgb="FFDDF5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Выручка и операционный поток, </a:t>
            </a:r>
            <a:r>
              <a:rPr lang="ru-KZ"/>
              <a:t>₸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Выручка, ₸</c:v>
          </c:tx>
          <c:invertIfNegative val="1"/>
          <c:cat>
            <c:strRef>
              <c:f>'01_Резюме'!$J$4:$J$6</c:f>
              <c:strCache>
                <c:ptCount val="3"/>
                <c:pt idx="0">
                  <c:v>Год 1</c:v>
                </c:pt>
                <c:pt idx="1">
                  <c:v>Год 2</c:v>
                </c:pt>
                <c:pt idx="2">
                  <c:v>Год 3</c:v>
                </c:pt>
              </c:strCache>
            </c:strRef>
          </c:cat>
          <c:val>
            <c:numRef>
              <c:f>'01_Резюме'!$K$4:$K$6</c:f>
              <c:numCache>
                <c:formatCode>General</c:formatCode>
                <c:ptCount val="3"/>
                <c:pt idx="0">
                  <c:v>3600000</c:v>
                </c:pt>
                <c:pt idx="1">
                  <c:v>10700000</c:v>
                </c:pt>
                <c:pt idx="2">
                  <c:v>21750000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8-4B5D-9CCF-896C437BC77A}"/>
            </c:ext>
          </c:extLst>
        </c:ser>
        <c:ser>
          <c:idx val="1"/>
          <c:order val="1"/>
          <c:tx>
            <c:v>Опер. поток, ₸</c:v>
          </c:tx>
          <c:invertIfNegative val="1"/>
          <c:cat>
            <c:strRef>
              <c:f>'01_Резюме'!$J$4:$J$6</c:f>
              <c:strCache>
                <c:ptCount val="3"/>
                <c:pt idx="0">
                  <c:v>Год 1</c:v>
                </c:pt>
                <c:pt idx="1">
                  <c:v>Год 2</c:v>
                </c:pt>
                <c:pt idx="2">
                  <c:v>Год 3</c:v>
                </c:pt>
              </c:strCache>
            </c:strRef>
          </c:cat>
          <c:val>
            <c:numRef>
              <c:f>'01_Резюме'!$L$4:$L$6</c:f>
              <c:numCache>
                <c:formatCode>General</c:formatCode>
                <c:ptCount val="3"/>
                <c:pt idx="0">
                  <c:v>-1140000</c:v>
                </c:pt>
                <c:pt idx="1">
                  <c:v>2495000</c:v>
                </c:pt>
                <c:pt idx="2">
                  <c:v>8887500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B8-4B5D-9CCF-896C437BC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76200</xdr:colOff>
      <xdr:row>36</xdr:row>
      <xdr:rowOff>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FA3CE40D-2B14-44B5-6E10-9D0BD5ECA36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B24B2901-3794-4248-A631-EE90D7C9486E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8-20T18:06:00.00" personId="{B24B2901-3794-4248-A631-EE90D7C9486E}" id="{7055BC82-173C-DB08-DB33-CC79C0DEEB77}">
    <text>Assumption: 5 000 000 KZT was requested by the user; currency is assumed to be KZT.</text>
  </threadedComment>
  <threadedComment ref="B10" dT="2026-08-20T18:06:00.00" personId="{B24B2901-3794-4248-A631-EE90D7C9486E}" id="{BF993418-ED00-B778-9BAD-25A9C62558AD}">
    <text>Assumption: preliminary annual institution price. Validate with pilots and procurement interviews.</text>
  </threadedComment>
  <threadedComment ref="B12" dT="2026-08-20T18:06:00.00" personId="{B24B2901-3794-4248-A631-EE90D7C9486E}" id="{E0C8AF9B-2395-8452-34EF-F2C79E67AA3B}">
    <text>Assumption: COGS covers infrastructure and customer support; validate after the first pilots.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showGridLines="0" tabSelected="1" zoomScaleNormal="100" workbookViewId="0">
      <selection activeCell="L26" sqref="L26"/>
    </sheetView>
  </sheetViews>
  <sheetFormatPr defaultRowHeight="14.25"/>
  <cols>
    <col min="1" max="1" width="22" customWidth="1"/>
    <col min="2" max="2" width="18" customWidth="1"/>
    <col min="3" max="3" width="22" customWidth="1"/>
    <col min="4" max="4" width="18" customWidth="1"/>
    <col min="5" max="5" width="22" customWidth="1"/>
    <col min="6" max="6" width="18" customWidth="1"/>
    <col min="7" max="7" width="22" customWidth="1"/>
    <col min="8" max="8" width="18" customWidth="1"/>
    <col min="9" max="9" width="4" customWidth="1"/>
    <col min="10" max="10" width="16" customWidth="1"/>
    <col min="11" max="12" width="18" customWidth="1"/>
  </cols>
  <sheetData>
    <row r="1" spans="1:12" ht="30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30" customHeight="1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>
      <c r="J3" t="s">
        <v>2</v>
      </c>
      <c r="K3" t="s">
        <v>3</v>
      </c>
      <c r="L3" t="s">
        <v>4</v>
      </c>
    </row>
    <row r="4" spans="1:12" ht="15">
      <c r="A4" s="47" t="s">
        <v>5</v>
      </c>
      <c r="B4" s="47"/>
      <c r="C4" s="47"/>
      <c r="D4" s="47"/>
      <c r="E4" s="47"/>
      <c r="F4" s="47"/>
      <c r="G4" s="47"/>
      <c r="H4" s="47"/>
      <c r="J4" s="44" t="str">
        <f>"Год 1"</f>
        <v>Год 1</v>
      </c>
      <c r="K4" s="16">
        <f>'05_Прогноз_3г'!B15</f>
        <v>3600000</v>
      </c>
      <c r="L4" s="16">
        <f>'05_Прогноз_3г'!B20</f>
        <v>-1140000</v>
      </c>
    </row>
    <row r="5" spans="1:12" ht="21.95" customHeight="1">
      <c r="A5" s="48" t="s">
        <v>6</v>
      </c>
      <c r="B5" s="48"/>
      <c r="C5" s="48" t="s">
        <v>7</v>
      </c>
      <c r="D5" s="48"/>
      <c r="E5" s="48" t="s">
        <v>8</v>
      </c>
      <c r="F5" s="48"/>
      <c r="G5" s="48" t="s">
        <v>9</v>
      </c>
      <c r="H5" s="48"/>
      <c r="J5" s="44" t="str">
        <f>"Год 2"</f>
        <v>Год 2</v>
      </c>
      <c r="K5" s="16">
        <f>'05_Прогноз_3г'!C15</f>
        <v>10700000</v>
      </c>
      <c r="L5" s="16">
        <f>'05_Прогноз_3г'!C20</f>
        <v>2495000</v>
      </c>
    </row>
    <row r="6" spans="1:12" ht="27.95" customHeight="1">
      <c r="A6" s="49">
        <f>'03_Допущения'!$B$6</f>
        <v>5000000</v>
      </c>
      <c r="B6" s="50"/>
      <c r="C6" s="49">
        <f>'03_Допущения'!$B$7</f>
        <v>10</v>
      </c>
      <c r="D6" s="50"/>
      <c r="E6" s="49">
        <f>'04_Инвестиции_5м'!$G$8</f>
        <v>420000</v>
      </c>
      <c r="F6" s="50"/>
      <c r="G6" s="49">
        <f>'05_Прогноз_3г'!$C$24</f>
        <v>7</v>
      </c>
      <c r="H6" s="50"/>
      <c r="J6" s="44" t="str">
        <f>"Год 3"</f>
        <v>Год 3</v>
      </c>
      <c r="K6" s="16">
        <f>'05_Прогноз_3г'!D15</f>
        <v>21750000</v>
      </c>
      <c r="L6" s="16">
        <f>'05_Прогноз_3г'!D20</f>
        <v>8887500</v>
      </c>
    </row>
    <row r="7" spans="1:12" ht="27.95" customHeight="1">
      <c r="A7" s="51"/>
      <c r="B7" s="52"/>
      <c r="C7" s="51"/>
      <c r="D7" s="52"/>
      <c r="E7" s="51"/>
      <c r="F7" s="52"/>
      <c r="G7" s="51"/>
      <c r="H7" s="52"/>
    </row>
    <row r="9" spans="1:12" ht="21.95" customHeight="1">
      <c r="A9" s="48" t="s">
        <v>10</v>
      </c>
      <c r="B9" s="48"/>
      <c r="C9" s="48" t="s">
        <v>11</v>
      </c>
      <c r="D9" s="48"/>
      <c r="E9" s="48" t="s">
        <v>12</v>
      </c>
      <c r="F9" s="48"/>
      <c r="G9" s="48" t="s">
        <v>13</v>
      </c>
      <c r="H9" s="48"/>
    </row>
    <row r="10" spans="1:12" ht="27.95" customHeight="1">
      <c r="A10" s="49">
        <f>'05_Прогноз_3г'!$D$15</f>
        <v>21750000</v>
      </c>
      <c r="B10" s="53"/>
      <c r="C10" s="49">
        <f>'05_Прогноз_3г'!$C$20</f>
        <v>2495000</v>
      </c>
      <c r="D10" s="53"/>
      <c r="E10" s="49">
        <f>'05_Прогноз_3г'!$D$20</f>
        <v>8887500</v>
      </c>
      <c r="F10" s="53"/>
      <c r="G10" s="49">
        <f>'05_Прогноз_3г'!$D$25</f>
        <v>5242500</v>
      </c>
      <c r="H10" s="50"/>
    </row>
    <row r="11" spans="1:12" ht="27.95" customHeight="1">
      <c r="A11" s="51"/>
      <c r="B11" s="52"/>
      <c r="C11" s="51"/>
      <c r="D11" s="52"/>
      <c r="E11" s="51"/>
      <c r="F11" s="52"/>
      <c r="G11" s="51"/>
      <c r="H11" s="52"/>
    </row>
    <row r="13" spans="1:12" ht="15">
      <c r="A13" s="47" t="s">
        <v>14</v>
      </c>
      <c r="B13" s="47"/>
      <c r="C13" s="47"/>
      <c r="D13" s="47"/>
      <c r="E13" s="47"/>
      <c r="F13" s="47"/>
      <c r="G13" s="47"/>
      <c r="H13" s="47"/>
    </row>
    <row r="14" spans="1:12" ht="56.1" customHeight="1">
      <c r="A14" s="81" t="s">
        <v>15</v>
      </c>
      <c r="B14" s="82" t="s">
        <v>16</v>
      </c>
      <c r="C14" s="83" t="s">
        <v>17</v>
      </c>
      <c r="D14" s="12"/>
      <c r="E14" s="12"/>
      <c r="F14" s="12"/>
      <c r="G14" s="12"/>
      <c r="H14" s="12"/>
    </row>
    <row r="15" spans="1:12" ht="56.1" customHeight="1">
      <c r="A15" s="84" t="s">
        <v>18</v>
      </c>
      <c r="B15" s="82" t="s">
        <v>19</v>
      </c>
      <c r="C15" s="83" t="s">
        <v>20</v>
      </c>
      <c r="D15" s="12"/>
      <c r="E15" s="12"/>
      <c r="F15" s="12"/>
      <c r="G15" s="12"/>
      <c r="H15" s="12"/>
    </row>
    <row r="16" spans="1:12" ht="56.1" customHeight="1">
      <c r="A16" s="84" t="s">
        <v>21</v>
      </c>
      <c r="B16" s="82" t="s">
        <v>22</v>
      </c>
      <c r="C16" s="83" t="s">
        <v>23</v>
      </c>
      <c r="D16" s="12"/>
      <c r="E16" s="12"/>
      <c r="F16" s="12"/>
      <c r="G16" s="12"/>
      <c r="H16" s="12"/>
    </row>
    <row r="17" spans="1:8" ht="56.1" customHeight="1">
      <c r="A17" s="84" t="s">
        <v>24</v>
      </c>
      <c r="B17" s="82" t="s">
        <v>25</v>
      </c>
      <c r="C17" s="83" t="s">
        <v>26</v>
      </c>
      <c r="D17" s="12"/>
      <c r="E17" s="12"/>
      <c r="F17" s="12"/>
      <c r="G17" s="12"/>
      <c r="H17" s="12"/>
    </row>
  </sheetData>
  <mergeCells count="20">
    <mergeCell ref="G9:H9"/>
    <mergeCell ref="G10:H11"/>
    <mergeCell ref="A13:H13"/>
    <mergeCell ref="A9:B9"/>
    <mergeCell ref="A10:B11"/>
    <mergeCell ref="C9:D9"/>
    <mergeCell ref="C10:D11"/>
    <mergeCell ref="E9:F9"/>
    <mergeCell ref="E10:F11"/>
    <mergeCell ref="A1:L1"/>
    <mergeCell ref="A2:L2"/>
    <mergeCell ref="A4:H4"/>
    <mergeCell ref="A5:B5"/>
    <mergeCell ref="A6:B7"/>
    <mergeCell ref="C5:D5"/>
    <mergeCell ref="C6:D7"/>
    <mergeCell ref="E5:F5"/>
    <mergeCell ref="E6:F7"/>
    <mergeCell ref="G5:H5"/>
    <mergeCell ref="G6:H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showGridLines="0" workbookViewId="0"/>
  </sheetViews>
  <sheetFormatPr defaultRowHeight="14.25"/>
  <cols>
    <col min="1" max="9" width="15" customWidth="1"/>
  </cols>
  <sheetData>
    <row r="1" spans="1:9" ht="30" customHeight="1">
      <c r="A1" s="45" t="s">
        <v>27</v>
      </c>
      <c r="B1" s="45"/>
      <c r="C1" s="45"/>
      <c r="D1" s="45"/>
      <c r="E1" s="45"/>
      <c r="F1" s="45"/>
      <c r="G1" s="45"/>
      <c r="H1" s="45"/>
      <c r="I1" s="45"/>
    </row>
    <row r="2" spans="1:9" ht="30" customHeight="1">
      <c r="A2" s="46" t="s">
        <v>28</v>
      </c>
      <c r="B2" s="46"/>
      <c r="C2" s="46"/>
      <c r="D2" s="46"/>
      <c r="E2" s="46"/>
      <c r="F2" s="46"/>
      <c r="G2" s="46"/>
      <c r="H2" s="46"/>
      <c r="I2" s="46"/>
    </row>
    <row r="4" spans="1:9" ht="21.95" customHeight="1">
      <c r="A4" s="47" t="s">
        <v>29</v>
      </c>
      <c r="B4" s="47"/>
      <c r="C4" s="47"/>
      <c r="D4" s="47" t="s">
        <v>30</v>
      </c>
      <c r="E4" s="47"/>
      <c r="F4" s="47"/>
      <c r="G4" s="47" t="s">
        <v>31</v>
      </c>
      <c r="H4" s="47"/>
      <c r="I4" s="47"/>
    </row>
    <row r="5" spans="1:9" ht="81.95" customHeight="1">
      <c r="A5" s="54" t="s">
        <v>32</v>
      </c>
      <c r="B5" s="55"/>
      <c r="C5" s="56"/>
      <c r="D5" s="54" t="s">
        <v>33</v>
      </c>
      <c r="E5" s="55"/>
      <c r="F5" s="56"/>
      <c r="G5" s="54" t="s">
        <v>34</v>
      </c>
      <c r="H5" s="55"/>
      <c r="I5" s="56"/>
    </row>
    <row r="6" spans="1:9">
      <c r="A6" s="57"/>
      <c r="B6" s="58"/>
      <c r="C6" s="59"/>
      <c r="D6" s="57"/>
      <c r="E6" s="58"/>
      <c r="F6" s="59"/>
      <c r="G6" s="57"/>
      <c r="H6" s="58"/>
      <c r="I6" s="59"/>
    </row>
    <row r="7" spans="1:9">
      <c r="A7" s="57"/>
      <c r="B7" s="58"/>
      <c r="C7" s="59"/>
      <c r="D7" s="57"/>
      <c r="E7" s="58"/>
      <c r="F7" s="59"/>
      <c r="G7" s="57"/>
      <c r="H7" s="58"/>
      <c r="I7" s="59"/>
    </row>
    <row r="8" spans="1:9">
      <c r="A8" s="57"/>
      <c r="B8" s="58"/>
      <c r="C8" s="59"/>
      <c r="D8" s="57"/>
      <c r="E8" s="58"/>
      <c r="F8" s="59"/>
      <c r="G8" s="57"/>
      <c r="H8" s="58"/>
      <c r="I8" s="59"/>
    </row>
    <row r="9" spans="1:9">
      <c r="A9" s="60"/>
      <c r="B9" s="61"/>
      <c r="C9" s="62"/>
      <c r="D9" s="60"/>
      <c r="E9" s="61"/>
      <c r="F9" s="62"/>
      <c r="G9" s="60"/>
      <c r="H9" s="61"/>
      <c r="I9" s="62"/>
    </row>
    <row r="11" spans="1:9" ht="21.95" customHeight="1">
      <c r="A11" s="47" t="s">
        <v>35</v>
      </c>
      <c r="B11" s="47"/>
      <c r="C11" s="47"/>
      <c r="D11" s="47" t="s">
        <v>36</v>
      </c>
      <c r="E11" s="47"/>
      <c r="F11" s="47"/>
      <c r="G11" s="47" t="s">
        <v>37</v>
      </c>
      <c r="H11" s="47"/>
      <c r="I11" s="47"/>
    </row>
    <row r="12" spans="1:9" ht="81.95" customHeight="1">
      <c r="A12" s="54" t="s">
        <v>38</v>
      </c>
      <c r="B12" s="55"/>
      <c r="C12" s="56"/>
      <c r="D12" s="54" t="s">
        <v>39</v>
      </c>
      <c r="E12" s="55"/>
      <c r="F12" s="56"/>
      <c r="G12" s="54" t="s">
        <v>40</v>
      </c>
      <c r="H12" s="55"/>
      <c r="I12" s="56"/>
    </row>
    <row r="13" spans="1:9">
      <c r="A13" s="57"/>
      <c r="B13" s="58"/>
      <c r="C13" s="59"/>
      <c r="D13" s="57"/>
      <c r="E13" s="58"/>
      <c r="F13" s="59"/>
      <c r="G13" s="57"/>
      <c r="H13" s="58"/>
      <c r="I13" s="59"/>
    </row>
    <row r="14" spans="1:9">
      <c r="A14" s="57"/>
      <c r="B14" s="58"/>
      <c r="C14" s="59"/>
      <c r="D14" s="57"/>
      <c r="E14" s="58"/>
      <c r="F14" s="59"/>
      <c r="G14" s="57"/>
      <c r="H14" s="58"/>
      <c r="I14" s="59"/>
    </row>
    <row r="15" spans="1:9">
      <c r="A15" s="57"/>
      <c r="B15" s="58"/>
      <c r="C15" s="59"/>
      <c r="D15" s="57"/>
      <c r="E15" s="58"/>
      <c r="F15" s="59"/>
      <c r="G15" s="57"/>
      <c r="H15" s="58"/>
      <c r="I15" s="59"/>
    </row>
    <row r="16" spans="1:9">
      <c r="A16" s="60"/>
      <c r="B16" s="61"/>
      <c r="C16" s="62"/>
      <c r="D16" s="60"/>
      <c r="E16" s="61"/>
      <c r="F16" s="62"/>
      <c r="G16" s="60"/>
      <c r="H16" s="61"/>
      <c r="I16" s="62"/>
    </row>
    <row r="18" spans="1:9" ht="21.95" customHeight="1">
      <c r="A18" s="47" t="s">
        <v>41</v>
      </c>
      <c r="B18" s="47"/>
      <c r="C18" s="47"/>
      <c r="D18" s="47" t="s">
        <v>42</v>
      </c>
      <c r="E18" s="47"/>
      <c r="F18" s="47"/>
      <c r="G18" s="47" t="s">
        <v>43</v>
      </c>
      <c r="H18" s="47"/>
      <c r="I18" s="47"/>
    </row>
    <row r="19" spans="1:9" ht="81.95" customHeight="1">
      <c r="A19" s="54" t="s">
        <v>44</v>
      </c>
      <c r="B19" s="55"/>
      <c r="C19" s="56"/>
      <c r="D19" s="54" t="s">
        <v>45</v>
      </c>
      <c r="E19" s="55"/>
      <c r="F19" s="56"/>
      <c r="G19" s="54" t="s">
        <v>46</v>
      </c>
      <c r="H19" s="55"/>
      <c r="I19" s="56"/>
    </row>
    <row r="20" spans="1:9">
      <c r="A20" s="57"/>
      <c r="B20" s="58"/>
      <c r="C20" s="59"/>
      <c r="D20" s="57"/>
      <c r="E20" s="58"/>
      <c r="F20" s="59"/>
      <c r="G20" s="57"/>
      <c r="H20" s="58"/>
      <c r="I20" s="59"/>
    </row>
    <row r="21" spans="1:9">
      <c r="A21" s="57"/>
      <c r="B21" s="58"/>
      <c r="C21" s="59"/>
      <c r="D21" s="57"/>
      <c r="E21" s="58"/>
      <c r="F21" s="59"/>
      <c r="G21" s="57"/>
      <c r="H21" s="58"/>
      <c r="I21" s="59"/>
    </row>
    <row r="22" spans="1:9">
      <c r="A22" s="57"/>
      <c r="B22" s="58"/>
      <c r="C22" s="59"/>
      <c r="D22" s="57"/>
      <c r="E22" s="58"/>
      <c r="F22" s="59"/>
      <c r="G22" s="57"/>
      <c r="H22" s="58"/>
      <c r="I22" s="59"/>
    </row>
    <row r="23" spans="1:9">
      <c r="A23" s="60"/>
      <c r="B23" s="61"/>
      <c r="C23" s="62"/>
      <c r="D23" s="60"/>
      <c r="E23" s="61"/>
      <c r="F23" s="62"/>
      <c r="G23" s="60"/>
      <c r="H23" s="61"/>
      <c r="I23" s="62"/>
    </row>
  </sheetData>
  <mergeCells count="20">
    <mergeCell ref="A18:C18"/>
    <mergeCell ref="A19:C23"/>
    <mergeCell ref="D18:F18"/>
    <mergeCell ref="D19:F23"/>
    <mergeCell ref="G18:I18"/>
    <mergeCell ref="G19:I23"/>
    <mergeCell ref="A11:C11"/>
    <mergeCell ref="A12:C16"/>
    <mergeCell ref="D11:F11"/>
    <mergeCell ref="D12:F16"/>
    <mergeCell ref="G11:I11"/>
    <mergeCell ref="G12:I16"/>
    <mergeCell ref="A1:I1"/>
    <mergeCell ref="A2:I2"/>
    <mergeCell ref="A4:C4"/>
    <mergeCell ref="A5:C9"/>
    <mergeCell ref="D4:F4"/>
    <mergeCell ref="D5:F9"/>
    <mergeCell ref="G4:I4"/>
    <mergeCell ref="G5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showGridLines="0" workbookViewId="0"/>
  </sheetViews>
  <sheetFormatPr defaultRowHeight="14.25"/>
  <cols>
    <col min="1" max="1" width="36" customWidth="1"/>
    <col min="2" max="2" width="16" customWidth="1"/>
    <col min="3" max="3" width="14" customWidth="1"/>
    <col min="4" max="4" width="55" customWidth="1"/>
    <col min="5" max="5" width="3" customWidth="1"/>
    <col min="6" max="6" width="21" customWidth="1"/>
    <col min="7" max="7" width="17" customWidth="1"/>
    <col min="8" max="8" width="28" customWidth="1"/>
  </cols>
  <sheetData>
    <row r="1" spans="1:8" ht="30" customHeight="1">
      <c r="A1" s="45" t="s">
        <v>47</v>
      </c>
      <c r="B1" s="45"/>
      <c r="C1" s="45"/>
      <c r="D1" s="45"/>
      <c r="E1" s="45"/>
      <c r="F1" s="45"/>
      <c r="G1" s="45"/>
      <c r="H1" s="45"/>
    </row>
    <row r="2" spans="1:8" ht="30" customHeight="1">
      <c r="A2" s="46" t="s">
        <v>48</v>
      </c>
      <c r="B2" s="46"/>
      <c r="C2" s="46"/>
      <c r="D2" s="46"/>
      <c r="E2" s="46"/>
      <c r="F2" s="46"/>
      <c r="G2" s="46"/>
      <c r="H2" s="46"/>
    </row>
    <row r="4" spans="1:8" ht="15">
      <c r="A4" s="47" t="s">
        <v>49</v>
      </c>
      <c r="B4" s="47"/>
      <c r="C4" s="47"/>
      <c r="D4" s="47"/>
      <c r="F4" s="47" t="s">
        <v>50</v>
      </c>
      <c r="G4" s="47"/>
      <c r="H4" s="47"/>
    </row>
    <row r="5" spans="1:8" ht="30" customHeight="1">
      <c r="A5" s="1" t="s">
        <v>51</v>
      </c>
      <c r="B5" s="1" t="s">
        <v>52</v>
      </c>
      <c r="C5" s="1" t="s">
        <v>53</v>
      </c>
      <c r="D5" s="1" t="s">
        <v>54</v>
      </c>
      <c r="F5" s="13" t="s">
        <v>55</v>
      </c>
      <c r="G5" s="12" t="s">
        <v>56</v>
      </c>
      <c r="H5" s="12" t="s">
        <v>57</v>
      </c>
    </row>
    <row r="6" spans="1:8" ht="30" customHeight="1">
      <c r="A6" s="6" t="s">
        <v>6</v>
      </c>
      <c r="B6" s="4">
        <v>5000000</v>
      </c>
      <c r="C6" s="7" t="s">
        <v>58</v>
      </c>
      <c r="D6" s="7" t="s">
        <v>59</v>
      </c>
      <c r="F6" s="14" t="s">
        <v>60</v>
      </c>
      <c r="G6" s="12" t="s">
        <v>61</v>
      </c>
      <c r="H6" s="12" t="s">
        <v>62</v>
      </c>
    </row>
    <row r="7" spans="1:8" ht="30" customHeight="1">
      <c r="A7" s="6" t="s">
        <v>63</v>
      </c>
      <c r="B7" s="4">
        <v>10</v>
      </c>
      <c r="C7" s="7" t="s">
        <v>64</v>
      </c>
      <c r="D7" s="7" t="s">
        <v>65</v>
      </c>
      <c r="F7" s="15" t="s">
        <v>66</v>
      </c>
      <c r="G7" s="12" t="s">
        <v>67</v>
      </c>
      <c r="H7" s="12" t="s">
        <v>68</v>
      </c>
    </row>
    <row r="8" spans="1:8" ht="30" customHeight="1">
      <c r="A8" s="6" t="s">
        <v>69</v>
      </c>
      <c r="B8" s="4">
        <v>800000</v>
      </c>
      <c r="C8" s="7" t="s">
        <v>58</v>
      </c>
      <c r="D8" s="7" t="s">
        <v>70</v>
      </c>
      <c r="F8" s="12" t="s">
        <v>71</v>
      </c>
      <c r="G8" s="12" t="s">
        <v>72</v>
      </c>
      <c r="H8" s="12" t="s">
        <v>73</v>
      </c>
    </row>
    <row r="9" spans="1:8" ht="23.1" customHeight="1">
      <c r="A9" s="6" t="s">
        <v>74</v>
      </c>
      <c r="B9" s="4">
        <v>350000</v>
      </c>
      <c r="C9" s="7" t="s">
        <v>58</v>
      </c>
      <c r="D9" s="7" t="s">
        <v>75</v>
      </c>
    </row>
    <row r="10" spans="1:8" ht="23.1" customHeight="1">
      <c r="A10" s="6" t="s">
        <v>76</v>
      </c>
      <c r="B10" s="4">
        <v>1200000</v>
      </c>
      <c r="C10" s="7" t="s">
        <v>77</v>
      </c>
      <c r="D10" s="7" t="s">
        <v>78</v>
      </c>
    </row>
    <row r="11" spans="1:8" ht="23.1" customHeight="1">
      <c r="A11" s="6" t="s">
        <v>79</v>
      </c>
      <c r="B11" s="4">
        <v>250000</v>
      </c>
      <c r="C11" s="7" t="s">
        <v>58</v>
      </c>
      <c r="D11" s="7" t="s">
        <v>80</v>
      </c>
    </row>
    <row r="12" spans="1:8" ht="23.1" customHeight="1">
      <c r="A12" s="6" t="s">
        <v>81</v>
      </c>
      <c r="B12" s="5">
        <v>0.15</v>
      </c>
      <c r="C12" s="7" t="s">
        <v>82</v>
      </c>
      <c r="D12" s="7" t="s">
        <v>83</v>
      </c>
    </row>
    <row r="13" spans="1:8" ht="23.1" customHeight="1">
      <c r="A13" s="6" t="s">
        <v>84</v>
      </c>
      <c r="B13" s="4">
        <v>2</v>
      </c>
      <c r="C13" s="7" t="s">
        <v>85</v>
      </c>
      <c r="D13" s="7" t="s">
        <v>86</v>
      </c>
    </row>
    <row r="14" spans="1:8" ht="23.1" customHeight="1">
      <c r="A14" s="6" t="s">
        <v>87</v>
      </c>
      <c r="B14" s="4">
        <v>7</v>
      </c>
      <c r="C14" s="7" t="s">
        <v>85</v>
      </c>
      <c r="D14" s="7" t="s">
        <v>88</v>
      </c>
    </row>
    <row r="15" spans="1:8" ht="23.1" customHeight="1">
      <c r="A15" s="6" t="s">
        <v>89</v>
      </c>
      <c r="B15" s="4">
        <v>15</v>
      </c>
      <c r="C15" s="7" t="s">
        <v>85</v>
      </c>
      <c r="D15" s="7" t="s">
        <v>90</v>
      </c>
    </row>
    <row r="16" spans="1:8" ht="23.1" customHeight="1">
      <c r="A16" s="6" t="s">
        <v>91</v>
      </c>
      <c r="B16" s="4">
        <v>2</v>
      </c>
      <c r="C16" s="7" t="s">
        <v>85</v>
      </c>
      <c r="D16" s="7" t="s">
        <v>92</v>
      </c>
    </row>
    <row r="17" spans="1:4" ht="23.1" customHeight="1">
      <c r="A17" s="6" t="s">
        <v>93</v>
      </c>
      <c r="B17" s="4">
        <v>2</v>
      </c>
      <c r="C17" s="7" t="s">
        <v>85</v>
      </c>
      <c r="D17" s="7" t="s">
        <v>94</v>
      </c>
    </row>
    <row r="18" spans="1:4" ht="23.1" customHeight="1">
      <c r="A18" s="6" t="s">
        <v>95</v>
      </c>
      <c r="B18" s="4">
        <v>5</v>
      </c>
      <c r="C18" s="7" t="s">
        <v>85</v>
      </c>
      <c r="D18" s="7" t="s">
        <v>96</v>
      </c>
    </row>
    <row r="19" spans="1:4" ht="23.1" customHeight="1">
      <c r="A19" s="6" t="s">
        <v>97</v>
      </c>
      <c r="B19" s="4">
        <v>3</v>
      </c>
      <c r="C19" s="7" t="s">
        <v>85</v>
      </c>
      <c r="D19" s="7" t="s">
        <v>98</v>
      </c>
    </row>
    <row r="20" spans="1:4" ht="23.1" customHeight="1">
      <c r="A20" s="6" t="s">
        <v>99</v>
      </c>
      <c r="B20" s="4">
        <v>8</v>
      </c>
      <c r="C20" s="7" t="s">
        <v>85</v>
      </c>
      <c r="D20" s="7" t="s">
        <v>100</v>
      </c>
    </row>
    <row r="21" spans="1:4" ht="23.1" customHeight="1">
      <c r="A21" s="6" t="s">
        <v>101</v>
      </c>
      <c r="B21" s="4">
        <v>5</v>
      </c>
      <c r="C21" s="7" t="s">
        <v>85</v>
      </c>
      <c r="D21" s="7" t="s">
        <v>102</v>
      </c>
    </row>
    <row r="22" spans="1:4" ht="23.1" customHeight="1">
      <c r="A22" s="6" t="s">
        <v>103</v>
      </c>
      <c r="B22" s="4">
        <v>4200000</v>
      </c>
      <c r="C22" s="7" t="s">
        <v>58</v>
      </c>
      <c r="D22" s="7" t="s">
        <v>104</v>
      </c>
    </row>
    <row r="23" spans="1:4" ht="23.1" customHeight="1">
      <c r="A23" s="6" t="s">
        <v>105</v>
      </c>
      <c r="B23" s="4">
        <v>6600000</v>
      </c>
      <c r="C23" s="7" t="s">
        <v>58</v>
      </c>
      <c r="D23" s="7" t="s">
        <v>106</v>
      </c>
    </row>
    <row r="24" spans="1:4" ht="23.1" customHeight="1">
      <c r="A24" s="6" t="s">
        <v>107</v>
      </c>
      <c r="B24" s="4">
        <v>9600000</v>
      </c>
      <c r="C24" s="7" t="s">
        <v>58</v>
      </c>
      <c r="D24" s="7" t="s">
        <v>108</v>
      </c>
    </row>
    <row r="25" spans="1:4" ht="23.1" customHeight="1">
      <c r="A25" s="6" t="s">
        <v>109</v>
      </c>
      <c r="B25" s="5">
        <v>0</v>
      </c>
      <c r="C25" s="7" t="s">
        <v>110</v>
      </c>
      <c r="D25" s="7" t="s">
        <v>111</v>
      </c>
    </row>
    <row r="27" spans="1:4" ht="15">
      <c r="A27" s="47" t="s">
        <v>112</v>
      </c>
      <c r="B27" s="47"/>
      <c r="C27" s="47"/>
      <c r="D27" s="47"/>
    </row>
    <row r="28" spans="1:4">
      <c r="A28" s="1" t="s">
        <v>113</v>
      </c>
      <c r="B28" s="1" t="s">
        <v>114</v>
      </c>
      <c r="C28" s="1" t="s">
        <v>115</v>
      </c>
      <c r="D28" s="1" t="s">
        <v>116</v>
      </c>
    </row>
    <row r="29" spans="1:4">
      <c r="A29" t="s">
        <v>117</v>
      </c>
      <c r="B29" s="2">
        <v>1800000</v>
      </c>
      <c r="C29" s="8">
        <f t="shared" ref="C29:C35" si="0">B29/$B$36</f>
        <v>0.36</v>
      </c>
      <c r="D29" t="s">
        <v>118</v>
      </c>
    </row>
    <row r="30" spans="1:4">
      <c r="A30" t="s">
        <v>119</v>
      </c>
      <c r="B30" s="2">
        <v>700000</v>
      </c>
      <c r="C30" s="8">
        <f t="shared" si="0"/>
        <v>0.14000000000000001</v>
      </c>
      <c r="D30" t="s">
        <v>120</v>
      </c>
    </row>
    <row r="31" spans="1:4">
      <c r="A31" t="s">
        <v>121</v>
      </c>
      <c r="B31" s="2">
        <v>350000</v>
      </c>
      <c r="C31" s="8">
        <f t="shared" si="0"/>
        <v>7.0000000000000007E-2</v>
      </c>
      <c r="D31" t="s">
        <v>122</v>
      </c>
    </row>
    <row r="32" spans="1:4">
      <c r="A32" t="s">
        <v>123</v>
      </c>
      <c r="B32" s="2">
        <v>300000</v>
      </c>
      <c r="C32" s="8">
        <f t="shared" si="0"/>
        <v>0.06</v>
      </c>
      <c r="D32" t="s">
        <v>124</v>
      </c>
    </row>
    <row r="33" spans="1:4">
      <c r="A33" t="s">
        <v>125</v>
      </c>
      <c r="B33" s="2">
        <v>650000</v>
      </c>
      <c r="C33" s="8">
        <f t="shared" si="0"/>
        <v>0.13</v>
      </c>
      <c r="D33" t="s">
        <v>126</v>
      </c>
    </row>
    <row r="34" spans="1:4">
      <c r="A34" t="s">
        <v>127</v>
      </c>
      <c r="B34" s="2">
        <v>400000</v>
      </c>
      <c r="C34" s="8">
        <f t="shared" si="0"/>
        <v>0.08</v>
      </c>
      <c r="D34" t="s">
        <v>128</v>
      </c>
    </row>
    <row r="35" spans="1:4">
      <c r="A35" t="s">
        <v>69</v>
      </c>
      <c r="B35" s="2">
        <v>800000</v>
      </c>
      <c r="C35" s="8">
        <f t="shared" si="0"/>
        <v>0.16</v>
      </c>
      <c r="D35" t="s">
        <v>129</v>
      </c>
    </row>
    <row r="36" spans="1:4" ht="15">
      <c r="A36" s="9" t="s">
        <v>130</v>
      </c>
      <c r="B36" s="10">
        <f>SUM(B29:B35)</f>
        <v>5000000</v>
      </c>
      <c r="C36" s="11">
        <f>SUM(C29:C35)</f>
        <v>1</v>
      </c>
      <c r="D36" s="9" t="s">
        <v>131</v>
      </c>
    </row>
  </sheetData>
  <mergeCells count="5">
    <mergeCell ref="A1:H1"/>
    <mergeCell ref="A2:H2"/>
    <mergeCell ref="A4:D4"/>
    <mergeCell ref="A27:D27"/>
    <mergeCell ref="F4:H4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showGridLines="0" workbookViewId="0"/>
  </sheetViews>
  <sheetFormatPr defaultRowHeight="14.25"/>
  <cols>
    <col min="1" max="1" width="31" customWidth="1"/>
    <col min="2" max="2" width="54" customWidth="1"/>
    <col min="3" max="3" width="17" customWidth="1"/>
    <col min="4" max="4" width="14" customWidth="1"/>
    <col min="5" max="5" width="4" customWidth="1"/>
    <col min="6" max="6" width="29" customWidth="1"/>
    <col min="7" max="7" width="18" customWidth="1"/>
    <col min="8" max="8" width="20" customWidth="1"/>
  </cols>
  <sheetData>
    <row r="1" spans="1:8" ht="30" customHeight="1">
      <c r="A1" s="45" t="s">
        <v>132</v>
      </c>
      <c r="B1" s="45"/>
      <c r="C1" s="45"/>
      <c r="D1" s="45"/>
      <c r="E1" s="45"/>
      <c r="F1" s="45"/>
      <c r="G1" s="45"/>
      <c r="H1" s="45"/>
    </row>
    <row r="2" spans="1:8" ht="30" customHeight="1">
      <c r="A2" s="46" t="s">
        <v>133</v>
      </c>
      <c r="B2" s="46"/>
      <c r="C2" s="46"/>
      <c r="D2" s="46"/>
      <c r="E2" s="46"/>
      <c r="F2" s="46"/>
      <c r="G2" s="46"/>
      <c r="H2" s="46"/>
    </row>
    <row r="4" spans="1:8" ht="15">
      <c r="A4" s="47" t="s">
        <v>134</v>
      </c>
      <c r="B4" s="47"/>
      <c r="C4" s="47"/>
      <c r="D4" s="47"/>
      <c r="F4" s="47" t="s">
        <v>135</v>
      </c>
      <c r="G4" s="47"/>
      <c r="H4" s="47"/>
    </row>
    <row r="5" spans="1:8">
      <c r="A5" s="1" t="s">
        <v>136</v>
      </c>
      <c r="B5" s="1" t="s">
        <v>137</v>
      </c>
      <c r="C5" s="1" t="s">
        <v>114</v>
      </c>
      <c r="D5" s="1" t="s">
        <v>115</v>
      </c>
      <c r="F5" s="1" t="s">
        <v>138</v>
      </c>
      <c r="G5" s="1" t="s">
        <v>52</v>
      </c>
      <c r="H5" s="1" t="s">
        <v>139</v>
      </c>
    </row>
    <row r="6" spans="1:8" ht="33.950000000000003" customHeight="1">
      <c r="A6" s="3" t="s">
        <v>117</v>
      </c>
      <c r="B6" s="3" t="s">
        <v>140</v>
      </c>
      <c r="C6" s="17">
        <f>'03_Допущения'!$B$29</f>
        <v>1800000</v>
      </c>
      <c r="D6" s="18">
        <f t="shared" ref="D6:D12" si="0">C6/$C$13</f>
        <v>0.36</v>
      </c>
      <c r="F6" s="12" t="s">
        <v>63</v>
      </c>
      <c r="G6" s="22">
        <f>'03_Допущения'!$B$7</f>
        <v>10</v>
      </c>
      <c r="H6" s="12" t="s">
        <v>141</v>
      </c>
    </row>
    <row r="7" spans="1:8" ht="33.950000000000003" customHeight="1">
      <c r="A7" s="3" t="s">
        <v>142</v>
      </c>
      <c r="B7" s="3" t="s">
        <v>143</v>
      </c>
      <c r="C7" s="17">
        <f>'03_Допущения'!$B$30</f>
        <v>700000</v>
      </c>
      <c r="D7" s="18">
        <f t="shared" si="0"/>
        <v>0.14000000000000001</v>
      </c>
      <c r="F7" s="12" t="s">
        <v>144</v>
      </c>
      <c r="G7" s="23">
        <f>SUM(C6:C11)</f>
        <v>4200000</v>
      </c>
      <c r="H7" s="12" t="s">
        <v>145</v>
      </c>
    </row>
    <row r="8" spans="1:8" ht="33.950000000000003" customHeight="1">
      <c r="A8" s="3" t="s">
        <v>146</v>
      </c>
      <c r="B8" s="3" t="s">
        <v>147</v>
      </c>
      <c r="C8" s="17">
        <f>'03_Допущения'!$B$31</f>
        <v>350000</v>
      </c>
      <c r="D8" s="18">
        <f t="shared" si="0"/>
        <v>7.0000000000000007E-2</v>
      </c>
      <c r="F8" s="12" t="s">
        <v>148</v>
      </c>
      <c r="G8" s="23">
        <f>G7/G6</f>
        <v>420000</v>
      </c>
      <c r="H8" s="12" t="s">
        <v>149</v>
      </c>
    </row>
    <row r="9" spans="1:8" ht="33.950000000000003" customHeight="1">
      <c r="A9" s="3" t="s">
        <v>150</v>
      </c>
      <c r="B9" s="3" t="s">
        <v>151</v>
      </c>
      <c r="C9" s="17">
        <f>'03_Допущения'!$B$32</f>
        <v>300000</v>
      </c>
      <c r="D9" s="18">
        <f t="shared" si="0"/>
        <v>0.06</v>
      </c>
      <c r="F9" s="12" t="s">
        <v>152</v>
      </c>
      <c r="G9" s="24">
        <f>C12/G8</f>
        <v>1.9047619047619047</v>
      </c>
      <c r="H9" s="12" t="s">
        <v>153</v>
      </c>
    </row>
    <row r="10" spans="1:8" ht="33.950000000000003" customHeight="1">
      <c r="A10" s="3" t="s">
        <v>154</v>
      </c>
      <c r="B10" s="3" t="s">
        <v>155</v>
      </c>
      <c r="C10" s="17">
        <f>'03_Допущения'!$B$33</f>
        <v>650000</v>
      </c>
      <c r="D10" s="18">
        <f t="shared" si="0"/>
        <v>0.13</v>
      </c>
      <c r="F10" s="12" t="s">
        <v>156</v>
      </c>
      <c r="G10" s="24">
        <f>C13/G8</f>
        <v>11.904761904761905</v>
      </c>
      <c r="H10" s="12" t="s">
        <v>157</v>
      </c>
    </row>
    <row r="11" spans="1:8" ht="33.950000000000003" customHeight="1">
      <c r="A11" s="3" t="s">
        <v>158</v>
      </c>
      <c r="B11" s="3" t="s">
        <v>159</v>
      </c>
      <c r="C11" s="17">
        <f>'03_Допущения'!$B$34</f>
        <v>400000</v>
      </c>
      <c r="D11" s="18">
        <f t="shared" si="0"/>
        <v>0.08</v>
      </c>
    </row>
    <row r="12" spans="1:8" ht="33.950000000000003" customHeight="1">
      <c r="A12" s="3" t="s">
        <v>69</v>
      </c>
      <c r="B12" s="3" t="s">
        <v>160</v>
      </c>
      <c r="C12" s="17">
        <f>'03_Допущения'!$B$35</f>
        <v>800000</v>
      </c>
      <c r="D12" s="18">
        <f t="shared" si="0"/>
        <v>0.16</v>
      </c>
    </row>
    <row r="13" spans="1:8" ht="15">
      <c r="A13" s="19" t="s">
        <v>130</v>
      </c>
      <c r="B13" s="19"/>
      <c r="C13" s="20">
        <f>SUM(C6:C12)</f>
        <v>5000000</v>
      </c>
      <c r="D13" s="21">
        <f>SUM(D6:D12)</f>
        <v>1</v>
      </c>
    </row>
    <row r="16" spans="1:8" ht="15">
      <c r="A16" s="47" t="s">
        <v>161</v>
      </c>
      <c r="B16" s="47"/>
      <c r="C16" s="47"/>
      <c r="D16" s="47"/>
      <c r="E16" s="47"/>
      <c r="F16" s="47"/>
      <c r="G16" s="47"/>
      <c r="H16" s="47"/>
    </row>
    <row r="17" spans="1:8" ht="33.950000000000003" customHeight="1">
      <c r="A17" s="63" t="s">
        <v>162</v>
      </c>
      <c r="B17" s="64"/>
      <c r="C17" s="64"/>
      <c r="D17" s="64"/>
      <c r="E17" s="64"/>
      <c r="F17" s="64"/>
      <c r="G17" s="64"/>
      <c r="H17" s="65"/>
    </row>
    <row r="18" spans="1:8" ht="33.950000000000003" customHeight="1">
      <c r="A18" s="66"/>
      <c r="B18" s="67"/>
      <c r="C18" s="67"/>
      <c r="D18" s="67"/>
      <c r="E18" s="67"/>
      <c r="F18" s="67"/>
      <c r="G18" s="67"/>
      <c r="H18" s="68"/>
    </row>
    <row r="19" spans="1:8" ht="33.950000000000003" customHeight="1">
      <c r="A19" s="69"/>
      <c r="B19" s="70"/>
      <c r="C19" s="70"/>
      <c r="D19" s="70"/>
      <c r="E19" s="70"/>
      <c r="F19" s="70"/>
      <c r="G19" s="70"/>
      <c r="H19" s="71"/>
    </row>
  </sheetData>
  <mergeCells count="6">
    <mergeCell ref="A17:H19"/>
    <mergeCell ref="A1:H1"/>
    <mergeCell ref="A2:H2"/>
    <mergeCell ref="A4:D4"/>
    <mergeCell ref="F4:H4"/>
    <mergeCell ref="A16:H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showGridLines="0" workbookViewId="0"/>
  </sheetViews>
  <sheetFormatPr defaultRowHeight="14.25"/>
  <cols>
    <col min="1" max="1" width="40" customWidth="1"/>
    <col min="2" max="4" width="17" customWidth="1"/>
    <col min="5" max="5" width="4" customWidth="1"/>
    <col min="6" max="6" width="31" customWidth="1"/>
    <col min="7" max="7" width="18" customWidth="1"/>
    <col min="8" max="8" width="24" customWidth="1"/>
  </cols>
  <sheetData>
    <row r="1" spans="1:8" ht="30" customHeight="1">
      <c r="A1" s="45" t="s">
        <v>163</v>
      </c>
      <c r="B1" s="45"/>
      <c r="C1" s="45"/>
      <c r="D1" s="45"/>
      <c r="E1" s="45"/>
      <c r="F1" s="45"/>
      <c r="G1" s="45"/>
      <c r="H1" s="45"/>
    </row>
    <row r="2" spans="1:8" ht="30" customHeight="1">
      <c r="A2" s="46" t="s">
        <v>164</v>
      </c>
      <c r="B2" s="46"/>
      <c r="C2" s="46"/>
      <c r="D2" s="46"/>
      <c r="E2" s="46"/>
      <c r="F2" s="46"/>
      <c r="G2" s="46"/>
      <c r="H2" s="46"/>
    </row>
    <row r="4" spans="1:8" ht="15">
      <c r="A4" s="47" t="s">
        <v>165</v>
      </c>
      <c r="B4" s="47"/>
      <c r="C4" s="47"/>
      <c r="D4" s="47"/>
      <c r="F4" s="47" t="s">
        <v>166</v>
      </c>
      <c r="G4" s="47"/>
      <c r="H4" s="47"/>
    </row>
    <row r="5" spans="1:8" ht="33.950000000000003" customHeight="1">
      <c r="A5" s="1" t="s">
        <v>51</v>
      </c>
      <c r="B5" s="1" t="s">
        <v>167</v>
      </c>
      <c r="C5" s="1" t="s">
        <v>168</v>
      </c>
      <c r="D5" s="1" t="s">
        <v>169</v>
      </c>
      <c r="F5" s="12" t="s">
        <v>170</v>
      </c>
      <c r="G5" s="12" t="s">
        <v>171</v>
      </c>
      <c r="H5" s="12" t="s">
        <v>172</v>
      </c>
    </row>
    <row r="6" spans="1:8" ht="33.950000000000003" customHeight="1">
      <c r="A6" s="25" t="s">
        <v>173</v>
      </c>
      <c r="B6" s="26">
        <f>'03_Допущения'!$B$13</f>
        <v>2</v>
      </c>
      <c r="C6" s="26">
        <f>'03_Допущения'!$B$14</f>
        <v>7</v>
      </c>
      <c r="D6" s="26">
        <f>'03_Допущения'!$B$15</f>
        <v>15</v>
      </c>
      <c r="F6" s="12" t="s">
        <v>81</v>
      </c>
      <c r="G6" s="12" t="s">
        <v>174</v>
      </c>
      <c r="H6" s="12" t="s">
        <v>175</v>
      </c>
    </row>
    <row r="7" spans="1:8" ht="33.950000000000003" customHeight="1">
      <c r="A7" s="25" t="s">
        <v>176</v>
      </c>
      <c r="B7" s="26">
        <f>'03_Допущения'!$B$16</f>
        <v>2</v>
      </c>
      <c r="C7" s="26">
        <f>'03_Допущения'!$B$18</f>
        <v>5</v>
      </c>
      <c r="D7" s="26">
        <f>'03_Допущения'!$B$20</f>
        <v>8</v>
      </c>
      <c r="F7" s="12" t="s">
        <v>177</v>
      </c>
      <c r="G7" s="12" t="s">
        <v>178</v>
      </c>
      <c r="H7" s="12" t="s">
        <v>179</v>
      </c>
    </row>
    <row r="8" spans="1:8" ht="33.950000000000003" customHeight="1">
      <c r="A8" s="25" t="s">
        <v>180</v>
      </c>
      <c r="B8" s="26">
        <f>'03_Допущения'!$B$17</f>
        <v>2</v>
      </c>
      <c r="C8" s="26">
        <f>'03_Допущения'!$B$19</f>
        <v>3</v>
      </c>
      <c r="D8" s="26">
        <f>'03_Допущения'!$B$21</f>
        <v>5</v>
      </c>
      <c r="F8" s="12" t="s">
        <v>181</v>
      </c>
      <c r="G8" s="12" t="s">
        <v>182</v>
      </c>
      <c r="H8" s="12" t="s">
        <v>183</v>
      </c>
    </row>
    <row r="9" spans="1:8" ht="33.950000000000003" customHeight="1">
      <c r="A9" s="25" t="s">
        <v>184</v>
      </c>
      <c r="B9" s="26">
        <f>'03_Допущения'!$B$10</f>
        <v>1200000</v>
      </c>
      <c r="C9" s="26">
        <f>'03_Допущения'!$B$10</f>
        <v>1200000</v>
      </c>
      <c r="D9" s="26">
        <f>'03_Допущения'!$B$10</f>
        <v>1200000</v>
      </c>
      <c r="F9" s="12" t="s">
        <v>185</v>
      </c>
      <c r="G9" s="12" t="s">
        <v>186</v>
      </c>
      <c r="H9" s="12" t="s">
        <v>187</v>
      </c>
    </row>
    <row r="10" spans="1:8" ht="33.950000000000003" customHeight="1">
      <c r="A10" s="25" t="s">
        <v>188</v>
      </c>
      <c r="B10" s="26">
        <f>'03_Допущения'!$B$9</f>
        <v>350000</v>
      </c>
      <c r="C10" s="26">
        <f>'03_Допущения'!$B$9</f>
        <v>350000</v>
      </c>
      <c r="D10" s="26">
        <f>'03_Допущения'!$B$9</f>
        <v>350000</v>
      </c>
      <c r="F10" s="12" t="s">
        <v>189</v>
      </c>
      <c r="G10" s="12" t="s">
        <v>190</v>
      </c>
      <c r="H10" s="12" t="s">
        <v>191</v>
      </c>
    </row>
    <row r="11" spans="1:8" ht="21.95" customHeight="1">
      <c r="A11" s="25" t="s">
        <v>192</v>
      </c>
      <c r="B11" s="26">
        <f>'03_Допущения'!$B$11</f>
        <v>250000</v>
      </c>
      <c r="C11" s="26">
        <f>'03_Допущения'!$B$11</f>
        <v>250000</v>
      </c>
      <c r="D11" s="26">
        <f>'03_Допущения'!$B$11</f>
        <v>250000</v>
      </c>
    </row>
    <row r="12" spans="1:8" ht="21.95" customHeight="1">
      <c r="A12" s="25" t="s">
        <v>193</v>
      </c>
      <c r="B12" s="27">
        <f>B6*B9</f>
        <v>2400000</v>
      </c>
      <c r="C12" s="27">
        <f>C6*C9</f>
        <v>8400000</v>
      </c>
      <c r="D12" s="27">
        <f>D6*D9</f>
        <v>18000000</v>
      </c>
    </row>
    <row r="13" spans="1:8" ht="21.95" customHeight="1">
      <c r="A13" s="25" t="s">
        <v>194</v>
      </c>
      <c r="B13" s="27">
        <f>B8*B10</f>
        <v>700000</v>
      </c>
      <c r="C13" s="27">
        <f>C8*C10</f>
        <v>1050000</v>
      </c>
      <c r="D13" s="27">
        <f>D8*D10</f>
        <v>1750000</v>
      </c>
    </row>
    <row r="14" spans="1:8" ht="21.95" customHeight="1">
      <c r="A14" s="25" t="s">
        <v>195</v>
      </c>
      <c r="B14" s="27">
        <f>B7*B11</f>
        <v>500000</v>
      </c>
      <c r="C14" s="27">
        <f>C7*C11</f>
        <v>1250000</v>
      </c>
      <c r="D14" s="27">
        <f>D7*D11</f>
        <v>2000000</v>
      </c>
    </row>
    <row r="15" spans="1:8" ht="21.95" customHeight="1">
      <c r="A15" s="34" t="s">
        <v>196</v>
      </c>
      <c r="B15" s="35">
        <f>SUM(B12:B14)</f>
        <v>3600000</v>
      </c>
      <c r="C15" s="35">
        <f>SUM(C12:C14)</f>
        <v>10700000</v>
      </c>
      <c r="D15" s="35">
        <f>SUM(D12:D14)</f>
        <v>21750000</v>
      </c>
    </row>
    <row r="16" spans="1:8" ht="21.95" customHeight="1">
      <c r="A16" s="25" t="s">
        <v>197</v>
      </c>
      <c r="B16" s="28">
        <f>'03_Допущения'!$B$12</f>
        <v>0.15</v>
      </c>
      <c r="C16" s="28">
        <f>'03_Допущения'!$B$12</f>
        <v>0.15</v>
      </c>
      <c r="D16" s="28">
        <f>'03_Допущения'!$B$12</f>
        <v>0.15</v>
      </c>
    </row>
    <row r="17" spans="1:4" ht="21.95" customHeight="1">
      <c r="A17" s="25" t="s">
        <v>198</v>
      </c>
      <c r="B17" s="27">
        <f>B15*B16</f>
        <v>540000</v>
      </c>
      <c r="C17" s="27">
        <f>C15*C16</f>
        <v>1605000</v>
      </c>
      <c r="D17" s="27">
        <f>D15*D16</f>
        <v>3262500</v>
      </c>
    </row>
    <row r="18" spans="1:4" ht="21.95" customHeight="1">
      <c r="A18" s="30" t="s">
        <v>199</v>
      </c>
      <c r="B18" s="31">
        <f>B15-B17</f>
        <v>3060000</v>
      </c>
      <c r="C18" s="31">
        <f>C15-C17</f>
        <v>9095000</v>
      </c>
      <c r="D18" s="31">
        <f>D15-D17</f>
        <v>18487500</v>
      </c>
    </row>
    <row r="19" spans="1:4" ht="21.95" customHeight="1">
      <c r="A19" s="25" t="s">
        <v>200</v>
      </c>
      <c r="B19" s="27">
        <f>'03_Допущения'!$B$22</f>
        <v>4200000</v>
      </c>
      <c r="C19" s="27">
        <f>'03_Допущения'!$B$23</f>
        <v>6600000</v>
      </c>
      <c r="D19" s="27">
        <f>'03_Допущения'!$B$24</f>
        <v>9600000</v>
      </c>
    </row>
    <row r="20" spans="1:4" ht="21.95" customHeight="1">
      <c r="A20" s="36" t="s">
        <v>201</v>
      </c>
      <c r="B20" s="37">
        <f>B18-B19</f>
        <v>-1140000</v>
      </c>
      <c r="C20" s="37">
        <f>C18-C19</f>
        <v>2495000</v>
      </c>
      <c r="D20" s="37">
        <f>D18-D19</f>
        <v>8887500</v>
      </c>
    </row>
    <row r="21" spans="1:4" ht="21.95" customHeight="1">
      <c r="A21" s="25" t="s">
        <v>202</v>
      </c>
      <c r="B21" s="29">
        <f>IF(B15=0,0,B20/B15)</f>
        <v>-0.31666666666666665</v>
      </c>
      <c r="C21" s="29">
        <f>IF(C15=0,0,C20/C15)</f>
        <v>0.23317757009345794</v>
      </c>
      <c r="D21" s="29">
        <f>IF(D15=0,0,D20/D15)</f>
        <v>0.4086206896551724</v>
      </c>
    </row>
    <row r="22" spans="1:4" ht="21.95" customHeight="1">
      <c r="A22" s="30" t="s">
        <v>203</v>
      </c>
      <c r="B22" s="31">
        <f>B20</f>
        <v>-1140000</v>
      </c>
      <c r="C22" s="31">
        <f>B22+C20</f>
        <v>1355000</v>
      </c>
      <c r="D22" s="31">
        <f>C22+D20</f>
        <v>10242500</v>
      </c>
    </row>
    <row r="23" spans="1:4" ht="21.95" customHeight="1">
      <c r="A23" s="25" t="s">
        <v>204</v>
      </c>
      <c r="B23" s="27">
        <f>B19/(1-B16)</f>
        <v>4941176.4705882352</v>
      </c>
      <c r="C23" s="27">
        <f>C19/(1-C16)</f>
        <v>7764705.8823529417</v>
      </c>
      <c r="D23" s="27">
        <f>D19/(1-D16)</f>
        <v>11294117.647058824</v>
      </c>
    </row>
    <row r="24" spans="1:4" ht="21.95" customHeight="1">
      <c r="A24" s="30" t="s">
        <v>205</v>
      </c>
      <c r="B24" s="31">
        <f>ROUNDUP(B23/B9,0)</f>
        <v>5</v>
      </c>
      <c r="C24" s="31">
        <f>ROUNDUP(C23/C9,0)</f>
        <v>7</v>
      </c>
      <c r="D24" s="31">
        <f>ROUNDUP(D23/D9,0)</f>
        <v>10</v>
      </c>
    </row>
    <row r="25" spans="1:4" ht="21.95" customHeight="1">
      <c r="A25" s="30" t="s">
        <v>206</v>
      </c>
      <c r="B25" s="31">
        <f>B22-'03_Допущения'!$B$6</f>
        <v>-6140000</v>
      </c>
      <c r="C25" s="31">
        <f>C22-'03_Допущения'!$B$6</f>
        <v>-3645000</v>
      </c>
      <c r="D25" s="31">
        <f>D22-'03_Допущения'!$B$6</f>
        <v>5242500</v>
      </c>
    </row>
  </sheetData>
  <mergeCells count="4">
    <mergeCell ref="A1:H1"/>
    <mergeCell ref="A2:H2"/>
    <mergeCell ref="A4:D4"/>
    <mergeCell ref="F4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showGridLines="0" workbookViewId="0"/>
  </sheetViews>
  <sheetFormatPr defaultRowHeight="14.25"/>
  <cols>
    <col min="1" max="1" width="18" customWidth="1"/>
    <col min="2" max="2" width="17" customWidth="1"/>
    <col min="3" max="4" width="15" customWidth="1"/>
    <col min="5" max="6" width="17" customWidth="1"/>
    <col min="7" max="7" width="15" customWidth="1"/>
    <col min="8" max="8" width="13" customWidth="1"/>
    <col min="9" max="9" width="17" customWidth="1"/>
    <col min="10" max="11" width="18" customWidth="1"/>
    <col min="12" max="12" width="19" customWidth="1"/>
  </cols>
  <sheetData>
    <row r="1" spans="1:12" ht="30" customHeight="1">
      <c r="A1" s="45" t="s">
        <v>207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30" customHeight="1">
      <c r="A2" s="46" t="s">
        <v>208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4" spans="1:12" ht="15">
      <c r="A4" s="47" t="s">
        <v>209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2" ht="25.5">
      <c r="A5" s="1" t="s">
        <v>71</v>
      </c>
      <c r="B5" s="1" t="s">
        <v>210</v>
      </c>
      <c r="C5" s="1" t="s">
        <v>192</v>
      </c>
      <c r="D5" s="1" t="s">
        <v>211</v>
      </c>
      <c r="E5" s="1" t="s">
        <v>212</v>
      </c>
      <c r="F5" s="1" t="s">
        <v>213</v>
      </c>
      <c r="G5" s="1" t="s">
        <v>214</v>
      </c>
      <c r="H5" s="1" t="s">
        <v>81</v>
      </c>
      <c r="I5" s="1" t="s">
        <v>215</v>
      </c>
      <c r="J5" s="1" t="s">
        <v>3</v>
      </c>
      <c r="K5" s="1" t="s">
        <v>4</v>
      </c>
      <c r="L5" s="1" t="s">
        <v>9</v>
      </c>
    </row>
    <row r="6" spans="1:12" ht="26.1" customHeight="1">
      <c r="A6" s="25" t="s">
        <v>216</v>
      </c>
      <c r="B6" s="38">
        <v>1000000</v>
      </c>
      <c r="C6" s="38">
        <v>200000</v>
      </c>
      <c r="D6" s="38">
        <v>300000</v>
      </c>
      <c r="E6" s="38">
        <v>9</v>
      </c>
      <c r="F6" s="38">
        <v>5</v>
      </c>
      <c r="G6" s="38">
        <v>3</v>
      </c>
      <c r="H6" s="39">
        <v>0.18</v>
      </c>
      <c r="I6" s="38">
        <v>9200000</v>
      </c>
      <c r="J6" s="27">
        <f>E6*B6+F6*C6+G6*D6</f>
        <v>10900000</v>
      </c>
      <c r="K6" s="27">
        <f>J6*(1-H6)-I6</f>
        <v>-262000</v>
      </c>
      <c r="L6" s="27">
        <f>ROUNDUP((I6/(1-H6))/B6,0)</f>
        <v>12</v>
      </c>
    </row>
    <row r="7" spans="1:12" ht="26.1" customHeight="1">
      <c r="A7" s="32" t="s">
        <v>72</v>
      </c>
      <c r="B7" s="33">
        <v>1200000</v>
      </c>
      <c r="C7" s="33">
        <v>250000</v>
      </c>
      <c r="D7" s="33">
        <v>350000</v>
      </c>
      <c r="E7" s="33">
        <v>15</v>
      </c>
      <c r="F7" s="33">
        <v>8</v>
      </c>
      <c r="G7" s="33">
        <v>5</v>
      </c>
      <c r="H7" s="40">
        <v>0.15</v>
      </c>
      <c r="I7" s="33">
        <v>9600000</v>
      </c>
      <c r="J7" s="33">
        <f>E7*B7+F7*C7+G7*D7</f>
        <v>21750000</v>
      </c>
      <c r="K7" s="33">
        <f>J7*(1-H7)-I7</f>
        <v>8887500</v>
      </c>
      <c r="L7" s="33">
        <f>ROUNDUP((I7/(1-H7))/B7,0)</f>
        <v>10</v>
      </c>
    </row>
    <row r="8" spans="1:12" ht="26.1" customHeight="1">
      <c r="A8" s="25" t="s">
        <v>217</v>
      </c>
      <c r="B8" s="38">
        <v>1400000</v>
      </c>
      <c r="C8" s="38">
        <v>300000</v>
      </c>
      <c r="D8" s="38">
        <v>450000</v>
      </c>
      <c r="E8" s="38">
        <v>22</v>
      </c>
      <c r="F8" s="38">
        <v>10</v>
      </c>
      <c r="G8" s="38">
        <v>7</v>
      </c>
      <c r="H8" s="39">
        <v>0.13</v>
      </c>
      <c r="I8" s="38">
        <v>11000000</v>
      </c>
      <c r="J8" s="27">
        <f>E8*B8+F8*C8+G8*D8</f>
        <v>36950000</v>
      </c>
      <c r="K8" s="27">
        <f>J8*(1-H8)-I8</f>
        <v>21146500</v>
      </c>
      <c r="L8" s="27">
        <f>ROUNDUP((I8/(1-H8))/B8,0)</f>
        <v>10</v>
      </c>
    </row>
    <row r="11" spans="1:12" ht="15">
      <c r="A11" s="47" t="s">
        <v>218</v>
      </c>
      <c r="B11" s="47"/>
      <c r="C11" s="47"/>
      <c r="D11" s="47"/>
      <c r="E11" s="47"/>
      <c r="F11" s="47"/>
    </row>
    <row r="12" spans="1:12" ht="62.1" customHeight="1">
      <c r="A12" s="12" t="s">
        <v>216</v>
      </c>
      <c r="B12" s="12" t="s">
        <v>219</v>
      </c>
      <c r="C12" s="12" t="s">
        <v>220</v>
      </c>
      <c r="D12" s="12" t="s">
        <v>221</v>
      </c>
      <c r="E12" s="12"/>
      <c r="F12" s="12"/>
    </row>
    <row r="13" spans="1:12" ht="62.1" customHeight="1">
      <c r="A13" s="12" t="s">
        <v>72</v>
      </c>
      <c r="B13" s="12" t="s">
        <v>222</v>
      </c>
      <c r="C13" s="12" t="s">
        <v>223</v>
      </c>
      <c r="D13" s="12" t="s">
        <v>224</v>
      </c>
      <c r="E13" s="12"/>
      <c r="F13" s="12"/>
    </row>
    <row r="14" spans="1:12" ht="62.1" customHeight="1">
      <c r="A14" s="12" t="s">
        <v>217</v>
      </c>
      <c r="B14" s="12" t="s">
        <v>225</v>
      </c>
      <c r="C14" s="12" t="s">
        <v>226</v>
      </c>
      <c r="D14" s="12" t="s">
        <v>227</v>
      </c>
      <c r="E14" s="12"/>
      <c r="F14" s="12"/>
    </row>
    <row r="15" spans="1:12" ht="62.1" customHeight="1">
      <c r="A15" s="12" t="s">
        <v>228</v>
      </c>
      <c r="B15" s="12" t="s">
        <v>229</v>
      </c>
      <c r="C15" s="12" t="s">
        <v>230</v>
      </c>
      <c r="D15" s="12" t="s">
        <v>231</v>
      </c>
      <c r="E15" s="12"/>
      <c r="F15" s="12"/>
    </row>
    <row r="16" spans="1:12" ht="62.1" customHeight="1">
      <c r="A16" s="12" t="s">
        <v>232</v>
      </c>
      <c r="B16" s="12" t="s">
        <v>233</v>
      </c>
      <c r="C16" s="12" t="s">
        <v>234</v>
      </c>
      <c r="D16" s="12" t="s">
        <v>235</v>
      </c>
      <c r="E16" s="12"/>
      <c r="F16" s="12"/>
    </row>
  </sheetData>
  <mergeCells count="4">
    <mergeCell ref="A1:L1"/>
    <mergeCell ref="A2:L2"/>
    <mergeCell ref="A4:L4"/>
    <mergeCell ref="A11:F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showGridLines="0" workbookViewId="0"/>
  </sheetViews>
  <sheetFormatPr defaultRowHeight="14.25"/>
  <cols>
    <col min="1" max="1" width="36" customWidth="1"/>
    <col min="2" max="4" width="18" customWidth="1"/>
    <col min="5" max="5" width="14" customWidth="1"/>
    <col min="6" max="6" width="50" customWidth="1"/>
  </cols>
  <sheetData>
    <row r="1" spans="1:6" ht="30" customHeight="1">
      <c r="A1" s="45" t="s">
        <v>236</v>
      </c>
      <c r="B1" s="45"/>
      <c r="C1" s="45"/>
      <c r="D1" s="45"/>
      <c r="E1" s="45"/>
      <c r="F1" s="45"/>
    </row>
    <row r="2" spans="1:6" ht="30" customHeight="1">
      <c r="A2" s="46" t="s">
        <v>237</v>
      </c>
      <c r="B2" s="46"/>
      <c r="C2" s="46"/>
      <c r="D2" s="46"/>
      <c r="E2" s="46"/>
      <c r="F2" s="46"/>
    </row>
    <row r="4" spans="1:6" ht="15">
      <c r="A4" s="47" t="s">
        <v>238</v>
      </c>
      <c r="B4" s="47"/>
      <c r="C4" s="47"/>
      <c r="D4" s="47"/>
      <c r="E4" s="47"/>
      <c r="F4" s="47"/>
    </row>
    <row r="5" spans="1:6" ht="27.95" customHeight="1">
      <c r="A5" s="41" t="s">
        <v>239</v>
      </c>
      <c r="B5" s="41" t="str">
        <f>IF(AND(E8="OK",E9="OK",E10="OK",E11="OK",E12="OK"),"PASS","FAIL")</f>
        <v>PASS</v>
      </c>
    </row>
    <row r="7" spans="1:6">
      <c r="A7" s="1" t="s">
        <v>240</v>
      </c>
      <c r="B7" s="1" t="s">
        <v>241</v>
      </c>
      <c r="C7" s="1" t="s">
        <v>242</v>
      </c>
      <c r="D7" s="1" t="s">
        <v>243</v>
      </c>
      <c r="E7" s="1" t="s">
        <v>244</v>
      </c>
      <c r="F7" s="1" t="s">
        <v>54</v>
      </c>
    </row>
    <row r="8" spans="1:6" ht="30" customHeight="1">
      <c r="A8" s="3" t="s">
        <v>245</v>
      </c>
      <c r="B8" s="17">
        <f>'04_Инвестиции_5м'!$C$13</f>
        <v>5000000</v>
      </c>
      <c r="C8" s="17">
        <f>'03_Допущения'!$B$6</f>
        <v>5000000</v>
      </c>
      <c r="D8" s="42">
        <f>B8-C8</f>
        <v>0</v>
      </c>
      <c r="E8" s="3" t="str">
        <f>IF(D8=0,"OK","FAIL")</f>
        <v>OK</v>
      </c>
      <c r="F8" s="3" t="s">
        <v>246</v>
      </c>
    </row>
    <row r="9" spans="1:6" ht="30" customHeight="1">
      <c r="A9" s="3" t="s">
        <v>247</v>
      </c>
      <c r="B9" s="17">
        <f>'03_Допущения'!$B$8</f>
        <v>800000</v>
      </c>
      <c r="C9" s="17">
        <f>0</f>
        <v>0</v>
      </c>
      <c r="D9" s="42">
        <f>B9-C9</f>
        <v>800000</v>
      </c>
      <c r="E9" s="3" t="str">
        <f>IF(B9&gt;=C9,"OK","FAIL")</f>
        <v>OK</v>
      </c>
      <c r="F9" s="3" t="s">
        <v>248</v>
      </c>
    </row>
    <row r="10" spans="1:6" ht="30" customHeight="1">
      <c r="A10" s="3" t="s">
        <v>249</v>
      </c>
      <c r="B10" s="17">
        <f>'05_Прогноз_3г'!$D$15</f>
        <v>21750000</v>
      </c>
      <c r="C10" s="17">
        <f>'06_Сценарии'!$J$7</f>
        <v>21750000</v>
      </c>
      <c r="D10" s="42">
        <f>B10-C10</f>
        <v>0</v>
      </c>
      <c r="E10" s="3" t="str">
        <f>IF(D10=0,"OK","FAIL")</f>
        <v>OK</v>
      </c>
      <c r="F10" s="3" t="s">
        <v>250</v>
      </c>
    </row>
    <row r="11" spans="1:6" ht="30" customHeight="1">
      <c r="A11" s="3" t="s">
        <v>251</v>
      </c>
      <c r="B11" s="17">
        <f>'05_Прогноз_3г'!$D$20</f>
        <v>8887500</v>
      </c>
      <c r="C11" s="17">
        <f>'06_Сценарии'!$K$7</f>
        <v>8887500</v>
      </c>
      <c r="D11" s="42">
        <f>B11-C11</f>
        <v>0</v>
      </c>
      <c r="E11" s="3" t="str">
        <f>IF(D11=0,"OK","FAIL")</f>
        <v>OK</v>
      </c>
      <c r="F11" s="3" t="s">
        <v>252</v>
      </c>
    </row>
    <row r="12" spans="1:6" ht="30" customHeight="1">
      <c r="A12" s="3" t="s">
        <v>253</v>
      </c>
      <c r="B12" s="17">
        <f>'05_Прогноз_3г'!$C$20</f>
        <v>2495000</v>
      </c>
      <c r="C12" s="17">
        <f>0</f>
        <v>0</v>
      </c>
      <c r="D12" s="42">
        <f>B12-C12</f>
        <v>2495000</v>
      </c>
      <c r="E12" s="3" t="str">
        <f>IF(B12&gt;0,"OK","FAIL")</f>
        <v>OK</v>
      </c>
      <c r="F12" s="3" t="s">
        <v>254</v>
      </c>
    </row>
  </sheetData>
  <mergeCells count="3">
    <mergeCell ref="A1:F1"/>
    <mergeCell ref="A2:F2"/>
    <mergeCell ref="A4:F4"/>
  </mergeCells>
  <conditionalFormatting sqref="B5">
    <cfRule type="containsText" dxfId="3" priority="3" operator="containsText" text="PASS"/>
    <cfRule type="containsText" dxfId="2" priority="4" operator="containsText" text="FAIL"/>
  </conditionalFormatting>
  <conditionalFormatting sqref="E8:E12">
    <cfRule type="containsText" dxfId="1" priority="1" operator="containsText" text="OK"/>
    <cfRule type="containsText" dxfId="0" priority="2" operator="containsText" text="FAIL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showGridLines="0" workbookViewId="0"/>
  </sheetViews>
  <sheetFormatPr defaultRowHeight="14.25"/>
  <cols>
    <col min="1" max="1" width="22" customWidth="1"/>
    <col min="2" max="2" width="31" customWidth="1"/>
    <col min="3" max="3" width="22" customWidth="1"/>
    <col min="4" max="4" width="17" customWidth="1"/>
    <col min="5" max="5" width="24" customWidth="1"/>
    <col min="6" max="6" width="52" customWidth="1"/>
    <col min="7" max="7" width="28" customWidth="1"/>
  </cols>
  <sheetData>
    <row r="1" spans="1:7" ht="30" customHeight="1">
      <c r="A1" s="45" t="s">
        <v>255</v>
      </c>
      <c r="B1" s="45"/>
      <c r="C1" s="45"/>
      <c r="D1" s="45"/>
      <c r="E1" s="45"/>
      <c r="F1" s="45"/>
      <c r="G1" s="45"/>
    </row>
    <row r="2" spans="1:7" ht="30" customHeight="1">
      <c r="A2" s="46" t="s">
        <v>256</v>
      </c>
      <c r="B2" s="46"/>
      <c r="C2" s="46"/>
      <c r="D2" s="46"/>
      <c r="E2" s="46"/>
      <c r="F2" s="46"/>
      <c r="G2" s="46"/>
    </row>
    <row r="4" spans="1:7">
      <c r="A4" s="1" t="s">
        <v>257</v>
      </c>
      <c r="B4" s="1" t="s">
        <v>258</v>
      </c>
      <c r="C4" s="1" t="s">
        <v>259</v>
      </c>
      <c r="D4" s="1" t="s">
        <v>260</v>
      </c>
      <c r="E4" s="1" t="s">
        <v>261</v>
      </c>
      <c r="F4" s="1" t="s">
        <v>262</v>
      </c>
      <c r="G4" s="1" t="s">
        <v>263</v>
      </c>
    </row>
    <row r="5" spans="1:7" ht="48" customHeight="1">
      <c r="A5" s="43" t="s">
        <v>264</v>
      </c>
      <c r="B5" s="43" t="s">
        <v>265</v>
      </c>
      <c r="C5" s="43" t="s">
        <v>266</v>
      </c>
      <c r="D5" s="43" t="s">
        <v>267</v>
      </c>
      <c r="E5" s="43" t="s">
        <v>268</v>
      </c>
      <c r="F5" s="43" t="s">
        <v>269</v>
      </c>
      <c r="G5" s="43" t="s">
        <v>270</v>
      </c>
    </row>
    <row r="6" spans="1:7" ht="48" customHeight="1">
      <c r="A6" s="43" t="s">
        <v>271</v>
      </c>
      <c r="B6" s="43" t="s">
        <v>272</v>
      </c>
      <c r="C6" s="43" t="s">
        <v>273</v>
      </c>
      <c r="D6" s="43" t="s">
        <v>267</v>
      </c>
      <c r="E6" s="43" t="s">
        <v>274</v>
      </c>
      <c r="F6" s="43" t="s">
        <v>275</v>
      </c>
      <c r="G6" s="43" t="s">
        <v>276</v>
      </c>
    </row>
    <row r="7" spans="1:7" ht="48" customHeight="1">
      <c r="A7" s="43" t="s">
        <v>277</v>
      </c>
      <c r="B7" s="43" t="s">
        <v>278</v>
      </c>
      <c r="C7" s="43" t="s">
        <v>279</v>
      </c>
      <c r="D7" s="43" t="s">
        <v>267</v>
      </c>
      <c r="E7" s="43" t="s">
        <v>280</v>
      </c>
      <c r="F7" s="43" t="s">
        <v>281</v>
      </c>
      <c r="G7" s="43" t="s">
        <v>282</v>
      </c>
    </row>
    <row r="8" spans="1:7" ht="48" customHeight="1">
      <c r="A8" s="43" t="s">
        <v>283</v>
      </c>
      <c r="B8" s="43" t="s">
        <v>284</v>
      </c>
      <c r="C8" s="43" t="s">
        <v>285</v>
      </c>
      <c r="D8" s="43" t="s">
        <v>267</v>
      </c>
      <c r="E8" s="43" t="s">
        <v>286</v>
      </c>
      <c r="F8" s="43" t="s">
        <v>287</v>
      </c>
      <c r="G8" s="43" t="s">
        <v>288</v>
      </c>
    </row>
    <row r="9" spans="1:7" ht="48" customHeight="1">
      <c r="A9" s="43" t="s">
        <v>289</v>
      </c>
      <c r="B9" s="43" t="s">
        <v>290</v>
      </c>
      <c r="C9" s="43" t="s">
        <v>291</v>
      </c>
      <c r="D9" s="43" t="s">
        <v>267</v>
      </c>
      <c r="E9" s="43" t="s">
        <v>292</v>
      </c>
      <c r="F9" s="43" t="s">
        <v>293</v>
      </c>
      <c r="G9" s="43" t="s">
        <v>294</v>
      </c>
    </row>
    <row r="12" spans="1:7" ht="15">
      <c r="A12" s="47" t="s">
        <v>295</v>
      </c>
      <c r="B12" s="47"/>
      <c r="C12" s="47"/>
      <c r="D12" s="47"/>
      <c r="E12" s="47"/>
      <c r="F12" s="47"/>
      <c r="G12" s="47"/>
    </row>
    <row r="13" spans="1:7" ht="33" customHeight="1">
      <c r="A13" s="72" t="s">
        <v>296</v>
      </c>
      <c r="B13" s="73"/>
      <c r="C13" s="73"/>
      <c r="D13" s="73"/>
      <c r="E13" s="73"/>
      <c r="F13" s="73"/>
      <c r="G13" s="74"/>
    </row>
    <row r="14" spans="1:7" ht="33" customHeight="1">
      <c r="A14" s="75"/>
      <c r="B14" s="76"/>
      <c r="C14" s="76"/>
      <c r="D14" s="76"/>
      <c r="E14" s="76"/>
      <c r="F14" s="76"/>
      <c r="G14" s="77"/>
    </row>
    <row r="15" spans="1:7" ht="33" customHeight="1">
      <c r="A15" s="75"/>
      <c r="B15" s="76"/>
      <c r="C15" s="76"/>
      <c r="D15" s="76"/>
      <c r="E15" s="76"/>
      <c r="F15" s="76"/>
      <c r="G15" s="77"/>
    </row>
    <row r="16" spans="1:7" ht="33" customHeight="1">
      <c r="A16" s="78"/>
      <c r="B16" s="79"/>
      <c r="C16" s="79"/>
      <c r="D16" s="79"/>
      <c r="E16" s="79"/>
      <c r="F16" s="79"/>
      <c r="G16" s="80"/>
    </row>
  </sheetData>
  <mergeCells count="4">
    <mergeCell ref="A1:G1"/>
    <mergeCell ref="A2:G2"/>
    <mergeCell ref="A12:G12"/>
    <mergeCell ref="A13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01_Резюме</vt:lpstr>
      <vt:lpstr>02_BMC</vt:lpstr>
      <vt:lpstr>03_Допущения</vt:lpstr>
      <vt:lpstr>04_Инвестиции_5м</vt:lpstr>
      <vt:lpstr>05_Прогноз_3г</vt:lpstr>
      <vt:lpstr>06_Сценарии</vt:lpstr>
      <vt:lpstr>07_Проверки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bekww egeubay</cp:lastModifiedBy>
  <dcterms:modified xsi:type="dcterms:W3CDTF">2026-08-20T20:06:32Z</dcterms:modified>
</cp:coreProperties>
</file>